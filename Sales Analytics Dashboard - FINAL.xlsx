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a7909b60f4dae64/Desktop/SALES ANALYTICS DASHBOARD 010101/"/>
    </mc:Choice>
  </mc:AlternateContent>
  <xr:revisionPtr revIDLastSave="0" documentId="8_{8BE9D854-D624-48C0-A998-5621ABB972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Data" sheetId="2" r:id="rId2"/>
    <sheet name="Calc" sheetId="3" r:id="rId3"/>
  </sheets>
  <definedNames>
    <definedName name="DVCategory">Calc!$F$12:$F$17</definedName>
    <definedName name="DVCur">Calc!$I$12:$I$13</definedName>
    <definedName name="DVGrowth">Calc!$A$162:$U$162</definedName>
    <definedName name="DVLine">Calc!$J$12:$J$13</definedName>
    <definedName name="DVMonth">Calc!$D$12:$D$24</definedName>
    <definedName name="DVProduct">Calc!$H$12:$H$37</definedName>
    <definedName name="DVQuarter">Calc!$C$12:$C$16</definedName>
    <definedName name="DVRegion">Calc!$E$12:$E$17</definedName>
    <definedName name="DVSales">Calc!$G$12:$G$18</definedName>
    <definedName name="DVYear">Calc!$B$12:$B$16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C5" i="1"/>
  <c r="E5" i="1"/>
  <c r="G5" i="1"/>
  <c r="I5" i="1"/>
  <c r="K5" i="1"/>
  <c r="D44" i="3"/>
  <c r="K6" i="3"/>
  <c r="K7" i="3" s="1"/>
  <c r="J6" i="3"/>
  <c r="J7" i="3" s="1"/>
  <c r="I6" i="3"/>
  <c r="I7" i="3" s="1"/>
  <c r="H6" i="3"/>
  <c r="F44" i="3" s="1"/>
  <c r="J44" i="3" s="1"/>
  <c r="G6" i="3"/>
  <c r="G7" i="3" s="1"/>
  <c r="F6" i="3"/>
  <c r="F7" i="3" s="1"/>
  <c r="E6" i="3"/>
  <c r="E7" i="3" s="1"/>
  <c r="D6" i="3"/>
  <c r="E148" i="3" s="1"/>
  <c r="C6" i="3"/>
  <c r="D140" i="3" s="1"/>
  <c r="B6" i="3"/>
  <c r="F48" i="3" s="1"/>
  <c r="J48" i="3" s="1"/>
  <c r="A7" i="1"/>
  <c r="A5" i="1"/>
  <c r="A4" i="1"/>
  <c r="AB4" i="1"/>
  <c r="AB2" i="1"/>
  <c r="B7" i="3" l="1"/>
  <c r="C43" i="3"/>
  <c r="E43" i="3"/>
  <c r="D46" i="3"/>
  <c r="E146" i="3"/>
  <c r="B44" i="3"/>
  <c r="I44" i="3" s="1"/>
  <c r="D50" i="3"/>
  <c r="F50" i="3"/>
  <c r="J50" i="3" s="1"/>
  <c r="E45" i="3"/>
  <c r="B46" i="3"/>
  <c r="H46" i="3" s="1"/>
  <c r="H7" i="3"/>
  <c r="C51" i="3"/>
  <c r="E51" i="3"/>
  <c r="B48" i="3"/>
  <c r="H48" i="3" s="1"/>
  <c r="F52" i="3"/>
  <c r="J52" i="3" s="1"/>
  <c r="C58" i="3"/>
  <c r="C97" i="3"/>
  <c r="C113" i="3"/>
  <c r="C138" i="3"/>
  <c r="C148" i="3"/>
  <c r="E58" i="3"/>
  <c r="C77" i="3"/>
  <c r="B85" i="3"/>
  <c r="D89" i="3"/>
  <c r="C103" i="3"/>
  <c r="E138" i="3"/>
  <c r="D137" i="3"/>
  <c r="D7" i="3"/>
  <c r="E140" i="3"/>
  <c r="B139" i="3"/>
  <c r="F139" i="3" s="1"/>
  <c r="C53" i="3"/>
  <c r="C59" i="3"/>
  <c r="B70" i="3"/>
  <c r="B78" i="3"/>
  <c r="D85" i="3"/>
  <c r="C109" i="3"/>
  <c r="F149" i="3"/>
  <c r="E53" i="3"/>
  <c r="E59" i="3"/>
  <c r="D66" i="3"/>
  <c r="D70" i="3"/>
  <c r="C86" i="3"/>
  <c r="C99" i="3"/>
  <c r="C115" i="3"/>
  <c r="C140" i="3"/>
  <c r="C105" i="3"/>
  <c r="D42" i="3"/>
  <c r="E60" i="3"/>
  <c r="C67" i="3"/>
  <c r="C75" i="3"/>
  <c r="B87" i="3"/>
  <c r="C95" i="3"/>
  <c r="C111" i="3"/>
  <c r="C117" i="3"/>
  <c r="D145" i="3"/>
  <c r="E49" i="3"/>
  <c r="F42" i="3"/>
  <c r="C47" i="3"/>
  <c r="B52" i="3"/>
  <c r="B68" i="3"/>
  <c r="C101" i="3"/>
  <c r="I46" i="3"/>
  <c r="B145" i="3"/>
  <c r="B166" i="3"/>
  <c r="D166" i="3" s="1"/>
  <c r="F148" i="3"/>
  <c r="C147" i="3"/>
  <c r="E145" i="3"/>
  <c r="D117" i="3"/>
  <c r="D115" i="3"/>
  <c r="D113" i="3"/>
  <c r="D111" i="3"/>
  <c r="D109" i="3"/>
  <c r="D107" i="3"/>
  <c r="D105" i="3"/>
  <c r="D103" i="3"/>
  <c r="D101" i="3"/>
  <c r="D99" i="3"/>
  <c r="D97" i="3"/>
  <c r="D95" i="3"/>
  <c r="D88" i="3"/>
  <c r="C85" i="3"/>
  <c r="B77" i="3"/>
  <c r="C70" i="3"/>
  <c r="B67" i="3"/>
  <c r="B61" i="3"/>
  <c r="D58" i="3"/>
  <c r="D53" i="3"/>
  <c r="E52" i="3"/>
  <c r="F51" i="3"/>
  <c r="J51" i="3" s="1"/>
  <c r="B47" i="3"/>
  <c r="C46" i="3"/>
  <c r="D45" i="3"/>
  <c r="E44" i="3"/>
  <c r="F43" i="3"/>
  <c r="J43" i="3" s="1"/>
  <c r="D148" i="3"/>
  <c r="F146" i="3"/>
  <c r="C145" i="3"/>
  <c r="B117" i="3"/>
  <c r="B115" i="3"/>
  <c r="B113" i="3"/>
  <c r="B111" i="3"/>
  <c r="B109" i="3"/>
  <c r="B107" i="3"/>
  <c r="B105" i="3"/>
  <c r="B103" i="3"/>
  <c r="B101" i="3"/>
  <c r="B99" i="3"/>
  <c r="B97" i="3"/>
  <c r="B95" i="3"/>
  <c r="B88" i="3"/>
  <c r="D86" i="3"/>
  <c r="C78" i="3"/>
  <c r="B75" i="3"/>
  <c r="C68" i="3"/>
  <c r="D59" i="3"/>
  <c r="B58" i="3"/>
  <c r="B53" i="3"/>
  <c r="H53" i="3" s="1"/>
  <c r="C52" i="3"/>
  <c r="D51" i="3"/>
  <c r="E50" i="3"/>
  <c r="F49" i="3"/>
  <c r="J49" i="3" s="1"/>
  <c r="H47" i="3"/>
  <c r="B45" i="3"/>
  <c r="H45" i="3" s="1"/>
  <c r="C44" i="3"/>
  <c r="D43" i="3"/>
  <c r="E42" i="3"/>
  <c r="E149" i="3"/>
  <c r="B148" i="3"/>
  <c r="D146" i="3"/>
  <c r="D118" i="3"/>
  <c r="D116" i="3"/>
  <c r="D114" i="3"/>
  <c r="D112" i="3"/>
  <c r="D110" i="3"/>
  <c r="D108" i="3"/>
  <c r="D106" i="3"/>
  <c r="D104" i="3"/>
  <c r="D102" i="3"/>
  <c r="D100" i="3"/>
  <c r="D98" i="3"/>
  <c r="D96" i="3"/>
  <c r="D94" i="3"/>
  <c r="C89" i="3"/>
  <c r="B86" i="3"/>
  <c r="D84" i="3"/>
  <c r="C76" i="3"/>
  <c r="D69" i="3"/>
  <c r="C66" i="3"/>
  <c r="D60" i="3"/>
  <c r="B59" i="3"/>
  <c r="B51" i="3"/>
  <c r="H51" i="3" s="1"/>
  <c r="C50" i="3"/>
  <c r="D49" i="3"/>
  <c r="E48" i="3"/>
  <c r="F47" i="3"/>
  <c r="J47" i="3" s="1"/>
  <c r="B43" i="3"/>
  <c r="H43" i="3" s="1"/>
  <c r="C42" i="3"/>
  <c r="A188" i="3"/>
  <c r="D149" i="3"/>
  <c r="F147" i="3"/>
  <c r="C146" i="3"/>
  <c r="C118" i="3"/>
  <c r="C116" i="3"/>
  <c r="C114" i="3"/>
  <c r="C112" i="3"/>
  <c r="C110" i="3"/>
  <c r="C108" i="3"/>
  <c r="C106" i="3"/>
  <c r="C104" i="3"/>
  <c r="C102" i="3"/>
  <c r="C100" i="3"/>
  <c r="C98" i="3"/>
  <c r="C96" i="3"/>
  <c r="C94" i="3"/>
  <c r="B89" i="3"/>
  <c r="D87" i="3"/>
  <c r="C84" i="3"/>
  <c r="C79" i="3"/>
  <c r="B76" i="3"/>
  <c r="C69" i="3"/>
  <c r="B66" i="3"/>
  <c r="E61" i="3"/>
  <c r="C60" i="3"/>
  <c r="H52" i="3"/>
  <c r="B50" i="3"/>
  <c r="H50" i="3" s="1"/>
  <c r="C49" i="3"/>
  <c r="D48" i="3"/>
  <c r="E47" i="3"/>
  <c r="F46" i="3"/>
  <c r="J46" i="3" s="1"/>
  <c r="B42" i="3"/>
  <c r="H42" i="3" s="1"/>
  <c r="C166" i="3"/>
  <c r="B149" i="3"/>
  <c r="D147" i="3"/>
  <c r="F145" i="3"/>
  <c r="C149" i="3"/>
  <c r="E147" i="3"/>
  <c r="B146" i="3"/>
  <c r="B118" i="3"/>
  <c r="B116" i="3"/>
  <c r="B114" i="3"/>
  <c r="B112" i="3"/>
  <c r="B110" i="3"/>
  <c r="B108" i="3"/>
  <c r="B106" i="3"/>
  <c r="B104" i="3"/>
  <c r="B102" i="3"/>
  <c r="B100" i="3"/>
  <c r="B98" i="3"/>
  <c r="B96" i="3"/>
  <c r="B94" i="3"/>
  <c r="C87" i="3"/>
  <c r="B84" i="3"/>
  <c r="B79" i="3"/>
  <c r="B69" i="3"/>
  <c r="D67" i="3"/>
  <c r="D61" i="3"/>
  <c r="B60" i="3"/>
  <c r="F53" i="3"/>
  <c r="J53" i="3" s="1"/>
  <c r="B49" i="3"/>
  <c r="H49" i="3" s="1"/>
  <c r="C48" i="3"/>
  <c r="D47" i="3"/>
  <c r="E46" i="3"/>
  <c r="F45" i="3"/>
  <c r="J45" i="3" s="1"/>
  <c r="C45" i="3"/>
  <c r="D52" i="3"/>
  <c r="C61" i="3"/>
  <c r="D68" i="3"/>
  <c r="C88" i="3"/>
  <c r="C107" i="3"/>
  <c r="B137" i="3"/>
  <c r="B147" i="3"/>
  <c r="C7" i="3"/>
  <c r="E137" i="3"/>
  <c r="C139" i="3"/>
  <c r="D139" i="3"/>
  <c r="B138" i="3"/>
  <c r="F138" i="3" s="1"/>
  <c r="E139" i="3"/>
  <c r="D138" i="3"/>
  <c r="B140" i="3"/>
  <c r="F140" i="3" s="1"/>
  <c r="C137" i="3"/>
  <c r="H44" i="3" l="1"/>
  <c r="I48" i="3"/>
  <c r="E107" i="3"/>
  <c r="D78" i="3"/>
  <c r="C156" i="3"/>
  <c r="A8" i="1"/>
  <c r="E102" i="3"/>
  <c r="E118" i="3"/>
  <c r="F69" i="3"/>
  <c r="E69" i="3"/>
  <c r="G42" i="3"/>
  <c r="A6" i="1"/>
  <c r="B154" i="3"/>
  <c r="I42" i="3"/>
  <c r="B54" i="3"/>
  <c r="C158" i="3"/>
  <c r="G11" i="1"/>
  <c r="C154" i="3"/>
  <c r="E89" i="3"/>
  <c r="F89" i="3"/>
  <c r="E108" i="3"/>
  <c r="A11" i="1"/>
  <c r="F75" i="3"/>
  <c r="B80" i="3"/>
  <c r="E75" i="3"/>
  <c r="F77" i="3"/>
  <c r="E77" i="3"/>
  <c r="I52" i="3"/>
  <c r="G52" i="3"/>
  <c r="E87" i="3"/>
  <c r="F87" i="3"/>
  <c r="G48" i="3"/>
  <c r="F85" i="3"/>
  <c r="E85" i="3"/>
  <c r="F79" i="3"/>
  <c r="E79" i="3"/>
  <c r="B183" i="3"/>
  <c r="C180" i="3"/>
  <c r="D182" i="3"/>
  <c r="C182" i="3"/>
  <c r="D179" i="3"/>
  <c r="D181" i="3"/>
  <c r="B179" i="3"/>
  <c r="C181" i="3"/>
  <c r="C183" i="3"/>
  <c r="D180" i="3"/>
  <c r="D183" i="3"/>
  <c r="B181" i="3"/>
  <c r="C119" i="3"/>
  <c r="B182" i="3"/>
  <c r="E94" i="3"/>
  <c r="B180" i="3"/>
  <c r="C179" i="3"/>
  <c r="E110" i="3"/>
  <c r="F188" i="3"/>
  <c r="A192" i="3"/>
  <c r="B188" i="3"/>
  <c r="I188" i="3"/>
  <c r="C188" i="3"/>
  <c r="I51" i="3"/>
  <c r="G51" i="3"/>
  <c r="F86" i="3"/>
  <c r="E86" i="3"/>
  <c r="C80" i="3"/>
  <c r="D75" i="3"/>
  <c r="E115" i="3"/>
  <c r="D77" i="3"/>
  <c r="I49" i="3"/>
  <c r="G49" i="3"/>
  <c r="E66" i="3"/>
  <c r="B71" i="3"/>
  <c r="F66" i="3"/>
  <c r="E96" i="3"/>
  <c r="E112" i="3"/>
  <c r="C54" i="3"/>
  <c r="B200" i="3"/>
  <c r="B197" i="3"/>
  <c r="B157" i="3"/>
  <c r="C6" i="1"/>
  <c r="C157" i="3"/>
  <c r="F54" i="3"/>
  <c r="J42" i="3"/>
  <c r="J54" i="3" s="1"/>
  <c r="B156" i="3"/>
  <c r="K6" i="1"/>
  <c r="E99" i="3"/>
  <c r="E62" i="3"/>
  <c r="B90" i="3"/>
  <c r="F84" i="3"/>
  <c r="D11" i="1"/>
  <c r="E84" i="3"/>
  <c r="I6" i="1"/>
  <c r="E98" i="3"/>
  <c r="E114" i="3"/>
  <c r="I43" i="3"/>
  <c r="G43" i="3"/>
  <c r="F59" i="3"/>
  <c r="G59" i="3"/>
  <c r="D119" i="3"/>
  <c r="B155" i="3"/>
  <c r="I8" i="1"/>
  <c r="C155" i="3"/>
  <c r="E54" i="3"/>
  <c r="F88" i="3"/>
  <c r="E88" i="3"/>
  <c r="E8" i="1"/>
  <c r="E109" i="3"/>
  <c r="D173" i="3"/>
  <c r="B171" i="3"/>
  <c r="D130" i="3"/>
  <c r="B128" i="3"/>
  <c r="C125" i="3"/>
  <c r="B173" i="3"/>
  <c r="C170" i="3"/>
  <c r="D132" i="3"/>
  <c r="B130" i="3"/>
  <c r="C127" i="3"/>
  <c r="D124" i="3"/>
  <c r="B119" i="3"/>
  <c r="C172" i="3"/>
  <c r="B132" i="3"/>
  <c r="C129" i="3"/>
  <c r="D126" i="3"/>
  <c r="B124" i="3"/>
  <c r="B174" i="3"/>
  <c r="D125" i="3"/>
  <c r="D174" i="3"/>
  <c r="B172" i="3"/>
  <c r="D131" i="3"/>
  <c r="B129" i="3"/>
  <c r="C126" i="3"/>
  <c r="D123" i="3"/>
  <c r="C171" i="3"/>
  <c r="B131" i="3"/>
  <c r="C128" i="3"/>
  <c r="B123" i="3"/>
  <c r="C174" i="3"/>
  <c r="D171" i="3"/>
  <c r="C131" i="3"/>
  <c r="D128" i="3"/>
  <c r="B126" i="3"/>
  <c r="C123" i="3"/>
  <c r="D170" i="3"/>
  <c r="D129" i="3"/>
  <c r="B170" i="3"/>
  <c r="C132" i="3"/>
  <c r="C130" i="3"/>
  <c r="D127" i="3"/>
  <c r="B127" i="3"/>
  <c r="C173" i="3"/>
  <c r="B125" i="3"/>
  <c r="D172" i="3"/>
  <c r="C124" i="3"/>
  <c r="E76" i="3"/>
  <c r="F76" i="3"/>
  <c r="E100" i="3"/>
  <c r="E116" i="3"/>
  <c r="G53" i="3"/>
  <c r="I53" i="3"/>
  <c r="D62" i="3"/>
  <c r="G46" i="3"/>
  <c r="B199" i="3"/>
  <c r="E6" i="1"/>
  <c r="B198" i="3"/>
  <c r="D54" i="3"/>
  <c r="D79" i="3"/>
  <c r="B202" i="3"/>
  <c r="B201" i="3"/>
  <c r="B62" i="3"/>
  <c r="G58" i="3"/>
  <c r="F58" i="3"/>
  <c r="F61" i="3"/>
  <c r="G61" i="3"/>
  <c r="E117" i="3"/>
  <c r="E105" i="3"/>
  <c r="E78" i="3"/>
  <c r="F78" i="3"/>
  <c r="E113" i="3"/>
  <c r="F60" i="3"/>
  <c r="G60" i="3"/>
  <c r="B158" i="3"/>
  <c r="G6" i="1"/>
  <c r="G50" i="3"/>
  <c r="I50" i="3"/>
  <c r="E104" i="3"/>
  <c r="G45" i="3"/>
  <c r="I45" i="3"/>
  <c r="F67" i="3"/>
  <c r="E67" i="3"/>
  <c r="E101" i="3"/>
  <c r="E111" i="3"/>
  <c r="G44" i="3"/>
  <c r="F70" i="3"/>
  <c r="E70" i="3"/>
  <c r="E103" i="3"/>
  <c r="E97" i="3"/>
  <c r="B141" i="3"/>
  <c r="F137" i="3"/>
  <c r="F141" i="3" s="1"/>
  <c r="AC2" i="1"/>
  <c r="E166" i="3"/>
  <c r="F166" i="3" s="1"/>
  <c r="G8" i="1" s="1"/>
  <c r="E106" i="3"/>
  <c r="D76" i="3"/>
  <c r="G47" i="3"/>
  <c r="I47" i="3"/>
  <c r="E68" i="3"/>
  <c r="F68" i="3"/>
  <c r="E95" i="3"/>
  <c r="C62" i="3"/>
  <c r="F80" i="3" l="1"/>
  <c r="B192" i="3"/>
  <c r="AC5" i="1"/>
  <c r="AC13" i="1"/>
  <c r="AC8" i="1"/>
  <c r="AC11" i="1"/>
  <c r="AC9" i="1"/>
  <c r="AC7" i="1"/>
  <c r="AC6" i="1"/>
  <c r="AC14" i="1"/>
  <c r="AC10" i="1"/>
  <c r="AC12" i="1"/>
  <c r="AC4" i="1"/>
  <c r="I54" i="3"/>
  <c r="C8" i="1"/>
  <c r="K8" i="1"/>
  <c r="G62" i="3"/>
  <c r="D188" i="3"/>
  <c r="B193" i="3" s="1"/>
  <c r="J188" i="3"/>
  <c r="K188" i="3" s="1"/>
  <c r="G188" i="3"/>
  <c r="H188" i="3" s="1"/>
  <c r="A193" i="3"/>
  <c r="F90" i="3"/>
  <c r="F71" i="3"/>
  <c r="A190" i="3"/>
  <c r="E188" i="3" l="1"/>
  <c r="C192" i="3" s="1"/>
</calcChain>
</file>

<file path=xl/sharedStrings.xml><?xml version="1.0" encoding="utf-8"?>
<sst xmlns="http://schemas.openxmlformats.org/spreadsheetml/2006/main" count="4657" uniqueCount="171">
  <si>
    <t>HELPERS</t>
  </si>
  <si>
    <t>Jan</t>
  </si>
  <si>
    <t>Feb</t>
  </si>
  <si>
    <t>YEAR</t>
  </si>
  <si>
    <t>QUARTER</t>
  </si>
  <si>
    <t>MONTH</t>
  </si>
  <si>
    <t>REGION</t>
  </si>
  <si>
    <t>CATEGORY</t>
  </si>
  <si>
    <t>SALESPERSON</t>
  </si>
  <si>
    <t>PRODUCT</t>
  </si>
  <si>
    <t>GROWTH %</t>
  </si>
  <si>
    <t>CURRENCY</t>
  </si>
  <si>
    <t>TARGET</t>
  </si>
  <si>
    <t>Mar</t>
  </si>
  <si>
    <t>All</t>
  </si>
  <si>
    <t>EGP</t>
  </si>
  <si>
    <t>ON</t>
  </si>
  <si>
    <t>Apr</t>
  </si>
  <si>
    <t>May</t>
  </si>
  <si>
    <t>Jun</t>
  </si>
  <si>
    <t>ORDERS</t>
  </si>
  <si>
    <t>Jul</t>
  </si>
  <si>
    <t>Aug</t>
  </si>
  <si>
    <t>Sep</t>
  </si>
  <si>
    <t>BEST MONTH</t>
  </si>
  <si>
    <t>AVG PROFIT / ORDER</t>
  </si>
  <si>
    <t>YOY GROWTH %</t>
  </si>
  <si>
    <t>COST RATIO %</t>
  </si>
  <si>
    <t>PEAK MONTH REVENUE</t>
  </si>
  <si>
    <t>Oct</t>
  </si>
  <si>
    <t>Nov</t>
  </si>
  <si>
    <t>Dec</t>
  </si>
  <si>
    <t>BEST CATEGORY</t>
  </si>
  <si>
    <t>TOP SALESPERSON</t>
  </si>
  <si>
    <t>PROJECTED REVENUE</t>
  </si>
  <si>
    <t>Grocery</t>
  </si>
  <si>
    <t>Furniture</t>
  </si>
  <si>
    <t>Clothing</t>
  </si>
  <si>
    <t>Sports</t>
  </si>
  <si>
    <t>Electronics</t>
  </si>
  <si>
    <t>North</t>
  </si>
  <si>
    <t>South</t>
  </si>
  <si>
    <t>East</t>
  </si>
  <si>
    <t>West</t>
  </si>
  <si>
    <t>Central</t>
  </si>
  <si>
    <t>Date</t>
  </si>
  <si>
    <t>Year</t>
  </si>
  <si>
    <t>Quarter</t>
  </si>
  <si>
    <t>MonthNum</t>
  </si>
  <si>
    <t>Month</t>
  </si>
  <si>
    <t>Region</t>
  </si>
  <si>
    <t>Category</t>
  </si>
  <si>
    <t>Product</t>
  </si>
  <si>
    <t>Salesperson</t>
  </si>
  <si>
    <t>Units</t>
  </si>
  <si>
    <t>Unit Price</t>
  </si>
  <si>
    <t>Revenue</t>
  </si>
  <si>
    <t>Cost</t>
  </si>
  <si>
    <t>Profit</t>
  </si>
  <si>
    <t>Q1</t>
  </si>
  <si>
    <t>Tablet</t>
  </si>
  <si>
    <t>Nour Ibrahim</t>
  </si>
  <si>
    <t>Jacket</t>
  </si>
  <si>
    <t>Omar Mostafa</t>
  </si>
  <si>
    <t>Coffee</t>
  </si>
  <si>
    <t>Ahmed Hassan</t>
  </si>
  <si>
    <t>Sneakers</t>
  </si>
  <si>
    <t>Desk</t>
  </si>
  <si>
    <t>Khaled Youssef</t>
  </si>
  <si>
    <t>Tea</t>
  </si>
  <si>
    <t>Sugar</t>
  </si>
  <si>
    <t>Mona Adel</t>
  </si>
  <si>
    <t>Dumbbell Set</t>
  </si>
  <si>
    <t>Bookshelf</t>
  </si>
  <si>
    <t>Yoga Mat</t>
  </si>
  <si>
    <t>Sofa</t>
  </si>
  <si>
    <t>Q2</t>
  </si>
  <si>
    <t>Tennis Racket</t>
  </si>
  <si>
    <t>Smartphone</t>
  </si>
  <si>
    <t>Monitor</t>
  </si>
  <si>
    <t>Q3</t>
  </si>
  <si>
    <t>Floor Lamp</t>
  </si>
  <si>
    <t>Headset</t>
  </si>
  <si>
    <t>Football</t>
  </si>
  <si>
    <t>T-Shirt</t>
  </si>
  <si>
    <t>Q4</t>
  </si>
  <si>
    <t>Sara Ali</t>
  </si>
  <si>
    <t>Sweater</t>
  </si>
  <si>
    <t>Training Jersey</t>
  </si>
  <si>
    <t>Laptop</t>
  </si>
  <si>
    <t>Cooking Oil</t>
  </si>
  <si>
    <t>Office Chair</t>
  </si>
  <si>
    <t>Rice</t>
  </si>
  <si>
    <t>Jeans</t>
  </si>
  <si>
    <t>CALC ENGINE  -  DYNAMIC FORMULA LAYER</t>
  </si>
  <si>
    <t>Read-only formula layer driving the Dashboard.  v2: quarter/month/product filters, year + product + top-10 + region x category matrix + KPI helpers.</t>
  </si>
  <si>
    <t>1  |  CURRENT SELECTIONS  (read from the Dashboard controls)</t>
  </si>
  <si>
    <t>FIELD</t>
  </si>
  <si>
    <t>ENGINE</t>
  </si>
  <si>
    <t>READABLE</t>
  </si>
  <si>
    <t>2  |  DROPDOWN LIST SOURCES  -  feed the in-cell dropdowns on the Dashboard</t>
  </si>
  <si>
    <t>USD</t>
  </si>
  <si>
    <t>OFF</t>
  </si>
  <si>
    <t>3  |  MONTHLY TOTALS  (Revenue / Orders / Units / Cost / Profit)</t>
  </si>
  <si>
    <t>Orders</t>
  </si>
  <si>
    <t>SHARE %</t>
  </si>
  <si>
    <t>YoY %</t>
  </si>
  <si>
    <t>Revenue USD</t>
  </si>
  <si>
    <t>Profit USD</t>
  </si>
  <si>
    <t>TOTAL</t>
  </si>
  <si>
    <t>-</t>
  </si>
  <si>
    <t>4  |  QUARTER TOTALS</t>
  </si>
  <si>
    <t>5  |  REGION TOTALS</t>
  </si>
  <si>
    <t>6  |  CATEGORY TOTALS</t>
  </si>
  <si>
    <t>Margin %</t>
  </si>
  <si>
    <t>7  |  SALESPERSON TOTALS</t>
  </si>
  <si>
    <t>8  |  PRODUCT TOTALS  (25 SKUs)</t>
  </si>
  <si>
    <t>8b  |  TOP 10 PRODUCTS BY REVENUE  (auto-ranked, drives the dashboard chart)</t>
  </si>
  <si>
    <t>Rank</t>
  </si>
  <si>
    <t>9  |  YEAR TOTALS  (YOY - ignores YEAR filter, keeps the rest)</t>
  </si>
  <si>
    <t>10  |  REGION x CATEGORY MATRIX  (Revenue USD, heatmap source)</t>
  </si>
  <si>
    <t>Region \ Category</t>
  </si>
  <si>
    <t>11  |  CURRENCY VIEW  -  follows the Dashboard EGP/USD toggle</t>
  </si>
  <si>
    <t>ITEM</t>
  </si>
  <si>
    <t>TOTAL REVENUE</t>
  </si>
  <si>
    <t>TOTAL COST</t>
  </si>
  <si>
    <t>TOTAL PROFIT</t>
  </si>
  <si>
    <t>12  |  GROWTH % DROPDOWN VALUES  (0-100, step 5)</t>
  </si>
  <si>
    <t>13  |  KPI HELPERS  -  YOY growth engine for the dashboard cards</t>
  </si>
  <si>
    <t>Latest Yr</t>
  </si>
  <si>
    <t>Prev Yr</t>
  </si>
  <si>
    <t>Latest Rev</t>
  </si>
  <si>
    <t>Prev Rev</t>
  </si>
  <si>
    <t>YOY %</t>
  </si>
  <si>
    <t>YOY GROWTH</t>
  </si>
  <si>
    <t>14  |  BOTTOM 5 PRODUCTS BY REVENUE  (auto-ranked, filters applied)</t>
  </si>
  <si>
    <t>15  |  TOP 5 PRODUCTS BY PROFIT  (absolute profit, margin = 38.0%)</t>
  </si>
  <si>
    <t>16  |  YEAR COMPARE  -  latest selected year vs previous year  (honours all filters except YEAR)</t>
  </si>
  <si>
    <t>Rev Latest</t>
  </si>
  <si>
    <t>Rev Prev</t>
  </si>
  <si>
    <t>Rev Δ%</t>
  </si>
  <si>
    <t>Profit Latest</t>
  </si>
  <si>
    <t>Profit Prev</t>
  </si>
  <si>
    <t>Profit Δ%</t>
  </si>
  <si>
    <t>Orders Latest</t>
  </si>
  <si>
    <t>Orders Prev</t>
  </si>
  <si>
    <t>Orders Δ%</t>
  </si>
  <si>
    <t>REVENUE</t>
  </si>
  <si>
    <t>Δ %</t>
  </si>
  <si>
    <t>17  |  EXTRA ORDER METRICS  -  used by dashboard KPI row 3</t>
  </si>
  <si>
    <t>METRIC</t>
  </si>
  <si>
    <t>VALUE</t>
  </si>
  <si>
    <t>FORMULA NOTE</t>
  </si>
  <si>
    <t>AVG ORDERS / MONTH</t>
  </si>
  <si>
    <t>count of data rows / 12 months</t>
  </si>
  <si>
    <t>AVG UNITS / ORDER</t>
  </si>
  <si>
    <t>total units / total orders</t>
  </si>
  <si>
    <t>UNITS / SALESPERSON</t>
  </si>
  <si>
    <t>total units / distinct salespersons</t>
  </si>
  <si>
    <t>ORDERS / REGION</t>
  </si>
  <si>
    <t>total orders / distinct regions</t>
  </si>
  <si>
    <t>BEST QUARTER</t>
  </si>
  <si>
    <t>quarter with highest revenue</t>
  </si>
  <si>
    <t>BEST QTR REVENUE</t>
  </si>
  <si>
    <t>max quarter revenue</t>
  </si>
  <si>
    <t xml:space="preserve">SALES ANALYTICS DASHBOARD 2022-2025   |   Interactive Sales Performance  </t>
  </si>
  <si>
    <t xml:space="preserve"> </t>
  </si>
  <si>
    <t>GO TO CALC  👨‍🦯</t>
  </si>
  <si>
    <t>Dashboard 👨‍🦯</t>
  </si>
  <si>
    <t>GoTo Data 👨‍🦯</t>
  </si>
  <si>
    <t>Go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</si>
</sst>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dd/mm/yyyy"/>
    <numFmt numFmtId="166" formatCode="\+0.0%;\-0.0%"/>
    <numFmt numFmtId="167" formatCode="0.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6"/>
      <color rgb="FFFFFFFF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b/>
      <sz val="10"/>
      <color rgb="FF2DD4BF"/>
      <name val="Segoe UI"/>
    </font>
    <font>
      <b/>
      <sz val="9"/>
      <color rgb="FF9FB6D4"/>
      <name val="Segoe UI"/>
    </font>
    <font>
      <sz val="8"/>
      <color rgb="FF9FB6D4"/>
      <name val="Segoe UI"/>
    </font>
    <font>
      <sz val="9"/>
      <color rgb="FF9FB6D4"/>
      <name val="Segoe UI"/>
    </font>
    <font>
      <b/>
      <sz val="9"/>
      <color rgb="FF2DD4BF"/>
      <name val="Segoe UI"/>
    </font>
    <font>
      <b/>
      <sz val="9"/>
      <color rgb="FFFBBF24"/>
      <name val="Segoe UI"/>
    </font>
    <font>
      <b/>
      <sz val="9"/>
      <color rgb="FF6B87A8"/>
      <name val="Segoe UI"/>
    </font>
    <font>
      <b/>
      <sz val="9"/>
      <color rgb="FFFB7185"/>
      <name val="Segoe UI"/>
    </font>
    <font>
      <sz val="8"/>
      <color rgb="FF6B87A8"/>
      <name val="Segoe UI"/>
    </font>
    <font>
      <b/>
      <sz val="18"/>
      <color rgb="FF2DD4BF"/>
      <name val="Segoe UI"/>
    </font>
    <font>
      <b/>
      <sz val="19"/>
      <color rgb="FF2DD4BF"/>
      <name val="Segoe UI"/>
    </font>
    <font>
      <b/>
      <sz val="8"/>
      <color rgb="FFFFFFFF"/>
      <name val="Segoe UI"/>
    </font>
    <font>
      <b/>
      <sz val="11"/>
      <color theme="1"/>
      <name val="Calibri"/>
      <family val="2"/>
      <scheme val="minor"/>
    </font>
    <font>
      <b/>
      <sz val="18"/>
      <color rgb="FF2DD4BF"/>
      <name val="Segoe UI"/>
      <family val="2"/>
    </font>
    <font>
      <sz val="18"/>
      <color theme="1"/>
      <name val="Calibri"/>
      <family val="2"/>
      <scheme val="minor"/>
    </font>
    <font>
      <b/>
      <sz val="22"/>
      <color rgb="FFFFFFFF"/>
      <name val="Segoe UI"/>
      <family val="2"/>
    </font>
    <font>
      <b/>
      <sz val="22"/>
      <color rgb="FF2DD4BF"/>
      <name val="Segoe UI"/>
      <family val="2"/>
    </font>
    <font>
      <b/>
      <sz val="19"/>
      <color rgb="FF2DD4BF"/>
      <name val="Segoe UI"/>
      <family val="2"/>
    </font>
    <font>
      <b/>
      <sz val="11"/>
      <color rgb="FFFFFFFF"/>
      <name val="Segoe UI"/>
      <family val="2"/>
    </font>
    <font>
      <b/>
      <sz val="10"/>
      <color rgb="FF9FB6D4"/>
      <name val="Segoe UI"/>
      <family val="2"/>
    </font>
    <font>
      <sz val="10"/>
      <color theme="1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0"/>
      <name val="Calibri"/>
      <family val="2"/>
      <scheme val="minor"/>
    </font>
    <font>
      <b/>
      <sz val="8"/>
      <color rgb="FFFFFFFF"/>
      <name val="Segoe UI"/>
      <family val="2"/>
    </font>
    <font>
      <sz val="8"/>
      <color theme="1"/>
      <name val="Calibri"/>
      <family val="2"/>
      <scheme val="minor"/>
    </font>
    <font>
      <sz val="11"/>
      <color rgb="FF081322"/>
      <name val="Calibri"/>
      <family val="2"/>
      <scheme val="minor"/>
    </font>
    <font>
      <sz val="12"/>
      <color rgb="FF081322"/>
      <name val="Calibri"/>
      <family val="2"/>
      <scheme val="minor"/>
    </font>
    <font>
      <sz val="8"/>
      <color rgb="FF081322"/>
      <name val="Calibri"/>
      <family val="2"/>
      <scheme val="minor"/>
    </font>
    <font>
      <sz val="9"/>
      <color rgb="FFD1F2EC"/>
      <name val="Segoe UI"/>
      <family val="2"/>
    </font>
    <font>
      <b/>
      <sz val="18"/>
      <color rgb="FFFBBF24"/>
      <name val="Segoe UI"/>
      <family val="2"/>
    </font>
    <font>
      <sz val="18"/>
      <color rgb="FF081322"/>
      <name val="Calibri"/>
      <family val="2"/>
      <scheme val="minor"/>
    </font>
    <font>
      <sz val="10"/>
      <color rgb="FF081322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28"/>
      <color theme="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2E60A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E7490"/>
        <bgColor rgb="FF0E7490"/>
      </patternFill>
    </fill>
    <fill>
      <patternFill patternType="solid">
        <fgColor rgb="FF1C3A63"/>
        <bgColor rgb="FF1C3A63"/>
      </patternFill>
    </fill>
    <fill>
      <patternFill patternType="solid">
        <fgColor rgb="FF162C4C"/>
        <bgColor rgb="FF162C4C"/>
      </patternFill>
    </fill>
    <fill>
      <patternFill patternType="solid">
        <fgColor rgb="FF0F2038"/>
        <bgColor rgb="FF0F2038"/>
      </patternFill>
    </fill>
    <fill>
      <patternFill patternType="solid">
        <fgColor rgb="FF0A1729"/>
        <bgColor rgb="FF0A1729"/>
      </patternFill>
    </fill>
    <fill>
      <patternFill patternType="solid">
        <fgColor rgb="FF081322"/>
        <bgColor rgb="FF081322"/>
      </patternFill>
    </fill>
    <fill>
      <patternFill patternType="solid">
        <fgColor rgb="FF081322"/>
        <bgColor rgb="FF0E7490"/>
      </patternFill>
    </fill>
    <fill>
      <patternFill patternType="solid">
        <fgColor rgb="FF081322"/>
        <bgColor rgb="FF0A1729"/>
      </patternFill>
    </fill>
    <fill>
      <patternFill patternType="solid">
        <fgColor rgb="FF081322"/>
        <bgColor rgb="FF0F2038"/>
      </patternFill>
    </fill>
    <fill>
      <patternFill patternType="solid">
        <fgColor rgb="FF0F2038"/>
        <bgColor rgb="FF081322"/>
      </patternFill>
    </fill>
    <fill>
      <patternFill patternType="solid">
        <fgColor rgb="FF081322"/>
        <bgColor indexed="64"/>
      </patternFill>
    </fill>
    <fill>
      <patternFill patternType="solid">
        <fgColor rgb="FF1C3A63"/>
        <bgColor rgb="FF0A1729"/>
      </patternFill>
    </fill>
    <fill>
      <patternFill patternType="solid">
        <fgColor rgb="FF081322"/>
        <bgColor rgb="FF1C3A63"/>
      </patternFill>
    </fill>
    <fill>
      <patternFill patternType="solid">
        <fgColor rgb="FF081322"/>
        <bgColor rgb="FFFFFFFF"/>
      </patternFill>
    </fill>
    <fill>
      <patternFill patternType="solid">
        <fgColor rgb="FF162C4C"/>
        <bgColor rgb="FF0F2038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1587E"/>
      </left>
      <right/>
      <top style="thin">
        <color rgb="FF31587E"/>
      </top>
      <bottom/>
      <diagonal/>
    </border>
    <border>
      <left/>
      <right/>
      <top style="thin">
        <color rgb="FF31587E"/>
      </top>
      <bottom/>
      <diagonal/>
    </border>
    <border>
      <left/>
      <right style="thin">
        <color rgb="FF31587E"/>
      </right>
      <top style="thin">
        <color rgb="FF31587E"/>
      </top>
      <bottom/>
      <diagonal/>
    </border>
    <border>
      <left style="thin">
        <color rgb="FF31587E"/>
      </left>
      <right/>
      <top/>
      <bottom/>
      <diagonal/>
    </border>
    <border>
      <left/>
      <right/>
      <top/>
      <bottom/>
      <diagonal/>
    </border>
    <border>
      <left/>
      <right style="thin">
        <color rgb="FF31587E"/>
      </right>
      <top/>
      <bottom/>
      <diagonal/>
    </border>
    <border>
      <left style="thin">
        <color rgb="FF31587E"/>
      </left>
      <right/>
      <top/>
      <bottom style="thin">
        <color rgb="FF31587E"/>
      </bottom>
      <diagonal/>
    </border>
    <border>
      <left/>
      <right/>
      <top/>
      <bottom style="thin">
        <color rgb="FF31587E"/>
      </bottom>
      <diagonal/>
    </border>
    <border>
      <left/>
      <right style="thin">
        <color rgb="FF31587E"/>
      </right>
      <top/>
      <bottom style="thin">
        <color rgb="FF31587E"/>
      </bottom>
      <diagonal/>
    </border>
    <border>
      <left style="thin">
        <color rgb="FF24455F"/>
      </left>
      <right style="thin">
        <color rgb="FF24455F"/>
      </right>
      <top style="thin">
        <color rgb="FF24455F"/>
      </top>
      <bottom/>
      <diagonal/>
    </border>
    <border>
      <left style="thin">
        <color rgb="FF24455F"/>
      </left>
      <right style="thin">
        <color rgb="FF24455F"/>
      </right>
      <top/>
      <bottom/>
      <diagonal/>
    </border>
    <border>
      <left style="thin">
        <color rgb="FF24455F"/>
      </left>
      <right style="thin">
        <color rgb="FF24455F"/>
      </right>
      <top/>
      <bottom style="thin">
        <color rgb="FF24455F"/>
      </bottom>
      <diagonal/>
    </border>
    <border>
      <left style="thin">
        <color rgb="FF24455F"/>
      </left>
      <right/>
      <top style="thin">
        <color rgb="FF24455F"/>
      </top>
      <bottom/>
      <diagonal/>
    </border>
    <border>
      <left/>
      <right/>
      <top style="thin">
        <color rgb="FF24455F"/>
      </top>
      <bottom/>
      <diagonal/>
    </border>
    <border>
      <left/>
      <right style="thin">
        <color rgb="FF24455F"/>
      </right>
      <top style="thin">
        <color rgb="FF24455F"/>
      </top>
      <bottom/>
      <diagonal/>
    </border>
    <border>
      <left style="thin">
        <color rgb="FF24455F"/>
      </left>
      <right/>
      <top/>
      <bottom/>
      <diagonal/>
    </border>
    <border>
      <left/>
      <right style="thin">
        <color rgb="FF24455F"/>
      </right>
      <top/>
      <bottom/>
      <diagonal/>
    </border>
    <border>
      <left style="thin">
        <color rgb="FF24455F"/>
      </left>
      <right/>
      <top/>
      <bottom style="thin">
        <color rgb="FF24455F"/>
      </bottom>
      <diagonal/>
    </border>
    <border>
      <left/>
      <right/>
      <top/>
      <bottom style="thin">
        <color rgb="FF24455F"/>
      </bottom>
      <diagonal/>
    </border>
    <border>
      <left/>
      <right style="thin">
        <color rgb="FF24455F"/>
      </right>
      <top/>
      <bottom style="thin">
        <color rgb="FF24455F"/>
      </bottom>
      <diagonal/>
    </border>
    <border>
      <left style="medium">
        <color rgb="FF31587E"/>
      </left>
      <right/>
      <top style="medium">
        <color rgb="FF31587E"/>
      </top>
      <bottom style="medium">
        <color rgb="FF31587E"/>
      </bottom>
      <diagonal/>
    </border>
    <border>
      <left/>
      <right/>
      <top style="medium">
        <color rgb="FF31587E"/>
      </top>
      <bottom style="medium">
        <color rgb="FF31587E"/>
      </bottom>
      <diagonal/>
    </border>
    <border>
      <left/>
      <right style="medium">
        <color rgb="FF31587E"/>
      </right>
      <top style="medium">
        <color rgb="FF31587E"/>
      </top>
      <bottom style="medium">
        <color rgb="FF31587E"/>
      </bottom>
      <diagonal/>
    </border>
    <border>
      <left style="thin">
        <color rgb="FF31587E"/>
      </left>
      <right/>
      <top style="thin">
        <color rgb="FF31587E"/>
      </top>
      <bottom style="thin">
        <color rgb="FF31587E"/>
      </bottom>
      <diagonal/>
    </border>
    <border>
      <left/>
      <right/>
      <top style="thin">
        <color rgb="FF31587E"/>
      </top>
      <bottom style="thin">
        <color rgb="FF31587E"/>
      </bottom>
      <diagonal/>
    </border>
    <border>
      <left/>
      <right style="thin">
        <color rgb="FF31587E"/>
      </right>
      <top style="thin">
        <color rgb="FF31587E"/>
      </top>
      <bottom style="thin">
        <color rgb="FF31587E"/>
      </bottom>
      <diagonal/>
    </border>
    <border>
      <left style="thin">
        <color rgb="FF24455F"/>
      </left>
      <right/>
      <top style="thin">
        <color rgb="FF24455F"/>
      </top>
      <bottom style="thin">
        <color rgb="FF24455F"/>
      </bottom>
      <diagonal/>
    </border>
    <border>
      <left/>
      <right/>
      <top style="thin">
        <color rgb="FF24455F"/>
      </top>
      <bottom style="thin">
        <color rgb="FF24455F"/>
      </bottom>
      <diagonal/>
    </border>
    <border>
      <left/>
      <right style="thin">
        <color rgb="FF24455F"/>
      </right>
      <top style="thin">
        <color rgb="FF24455F"/>
      </top>
      <bottom style="thin">
        <color rgb="FF24455F"/>
      </bottom>
      <diagonal/>
    </border>
    <border>
      <left style="medium">
        <color rgb="FF31587E"/>
      </left>
      <right/>
      <top style="medium">
        <color rgb="FF31587E"/>
      </top>
      <bottom/>
      <diagonal/>
    </border>
    <border>
      <left/>
      <right style="medium">
        <color rgb="FF31587E"/>
      </right>
      <top style="medium">
        <color rgb="FF31587E"/>
      </top>
      <bottom/>
      <diagonal/>
    </border>
    <border>
      <left style="medium">
        <color rgb="FF31587E"/>
      </left>
      <right/>
      <top/>
      <bottom style="medium">
        <color rgb="FF31587E"/>
      </bottom>
      <diagonal/>
    </border>
    <border>
      <left/>
      <right style="medium">
        <color rgb="FF31587E"/>
      </right>
      <top/>
      <bottom style="medium">
        <color rgb="FF31587E"/>
      </bottom>
      <diagonal/>
    </border>
    <border>
      <left/>
      <right/>
      <top style="medium">
        <color rgb="FF31587E"/>
      </top>
      <bottom/>
      <diagonal/>
    </border>
    <border>
      <left/>
      <right/>
      <top/>
      <bottom style="medium">
        <color rgb="FF31587E"/>
      </bottom>
      <diagonal/>
    </border>
    <border>
      <left style="medium">
        <color rgb="FF31587E"/>
      </left>
      <right style="medium">
        <color rgb="FF31587E"/>
      </right>
      <top style="medium">
        <color rgb="FF31587E"/>
      </top>
      <bottom/>
      <diagonal/>
    </border>
    <border>
      <left style="medium">
        <color rgb="FF31587E"/>
      </left>
      <right style="medium">
        <color rgb="FF31587E"/>
      </right>
      <top/>
      <bottom style="medium">
        <color rgb="FF31587E"/>
      </bottom>
      <diagonal/>
    </border>
    <border>
      <left/>
      <right style="medium">
        <color rgb="FF31587E"/>
      </right>
      <top/>
      <bottom/>
      <diagonal/>
    </border>
    <border>
      <left style="medium">
        <color rgb="FF0E7490"/>
      </left>
      <right/>
      <top style="medium">
        <color rgb="FF0E7490"/>
      </top>
      <bottom/>
      <diagonal/>
    </border>
    <border>
      <left/>
      <right style="medium">
        <color rgb="FF0E7490"/>
      </right>
      <top style="medium">
        <color rgb="FF0E7490"/>
      </top>
      <bottom/>
      <diagonal/>
    </border>
    <border>
      <left style="medium">
        <color rgb="FF0E7490"/>
      </left>
      <right/>
      <top/>
      <bottom style="medium">
        <color rgb="FF0E7490"/>
      </bottom>
      <diagonal/>
    </border>
    <border>
      <left/>
      <right style="medium">
        <color rgb="FF0E7490"/>
      </right>
      <top/>
      <bottom style="medium">
        <color rgb="FF0E7490"/>
      </bottom>
      <diagonal/>
    </border>
    <border>
      <left style="medium">
        <color rgb="FF0E7490"/>
      </left>
      <right/>
      <top/>
      <bottom/>
      <diagonal/>
    </border>
    <border>
      <left/>
      <right/>
      <top style="medium">
        <color rgb="FF0E7490"/>
      </top>
      <bottom/>
      <diagonal/>
    </border>
    <border>
      <left/>
      <right style="medium">
        <color rgb="FF0E7490"/>
      </right>
      <top/>
      <bottom/>
      <diagonal/>
    </border>
    <border>
      <left/>
      <right/>
      <top/>
      <bottom style="medium">
        <color rgb="FF0E749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10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0" xfId="0" applyAlignment="1"/>
    <xf numFmtId="0" fontId="0" fillId="9" borderId="0" xfId="0" applyFill="1" applyAlignment="1"/>
    <xf numFmtId="0" fontId="0" fillId="7" borderId="0" xfId="0" applyFill="1" applyAlignment="1"/>
    <xf numFmtId="0" fontId="6" fillId="4" borderId="37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4" borderId="0" xfId="0" applyFill="1" applyAlignment="1"/>
    <xf numFmtId="0" fontId="0" fillId="3" borderId="0" xfId="0" applyFill="1" applyAlignment="1"/>
    <xf numFmtId="0" fontId="5" fillId="5" borderId="0" xfId="0" applyFont="1" applyFill="1" applyAlignment="1">
      <alignment horizontal="left" vertical="center"/>
    </xf>
    <xf numFmtId="0" fontId="0" fillId="5" borderId="0" xfId="0" applyFill="1" applyAlignment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0" fillId="3" borderId="12" xfId="0" applyFill="1" applyBorder="1" applyAlignment="1"/>
    <xf numFmtId="0" fontId="0" fillId="3" borderId="13" xfId="0" applyFill="1" applyBorder="1" applyAlignment="1"/>
    <xf numFmtId="0" fontId="10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3" fontId="6" fillId="7" borderId="15" xfId="0" applyNumberFormat="1" applyFont="1" applyFill="1" applyBorder="1" applyAlignment="1">
      <alignment horizontal="center" vertical="center"/>
    </xf>
    <xf numFmtId="164" fontId="8" fillId="7" borderId="15" xfId="0" applyNumberFormat="1" applyFont="1" applyFill="1" applyBorder="1" applyAlignment="1">
      <alignment horizontal="center" vertical="center"/>
    </xf>
    <xf numFmtId="3" fontId="11" fillId="7" borderId="15" xfId="0" applyNumberFormat="1" applyFont="1" applyFill="1" applyBorder="1" applyAlignment="1">
      <alignment horizontal="center" vertical="center"/>
    </xf>
    <xf numFmtId="3" fontId="6" fillId="7" borderId="16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3" fontId="6" fillId="6" borderId="6" xfId="0" applyNumberFormat="1" applyFont="1" applyFill="1" applyBorder="1" applyAlignment="1">
      <alignment horizontal="center" vertical="center"/>
    </xf>
    <xf numFmtId="164" fontId="8" fillId="6" borderId="6" xfId="0" applyNumberFormat="1" applyFont="1" applyFill="1" applyBorder="1" applyAlignment="1">
      <alignment horizontal="center" vertical="center"/>
    </xf>
    <xf numFmtId="3" fontId="11" fillId="6" borderId="6" xfId="0" applyNumberFormat="1" applyFont="1" applyFill="1" applyBorder="1" applyAlignment="1">
      <alignment horizontal="center" vertical="center"/>
    </xf>
    <xf numFmtId="3" fontId="6" fillId="6" borderId="18" xfId="0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4" fontId="8" fillId="7" borderId="6" xfId="0" applyNumberFormat="1" applyFont="1" applyFill="1" applyBorder="1" applyAlignment="1">
      <alignment horizontal="center" vertical="center"/>
    </xf>
    <xf numFmtId="3" fontId="11" fillId="7" borderId="6" xfId="0" applyNumberFormat="1" applyFont="1" applyFill="1" applyBorder="1" applyAlignment="1">
      <alignment horizontal="center" vertical="center"/>
    </xf>
    <xf numFmtId="3" fontId="6" fillId="7" borderId="18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3" fontId="6" fillId="6" borderId="20" xfId="0" applyNumberFormat="1" applyFont="1" applyFill="1" applyBorder="1" applyAlignment="1">
      <alignment horizontal="center" vertical="center"/>
    </xf>
    <xf numFmtId="164" fontId="8" fillId="6" borderId="20" xfId="0" applyNumberFormat="1" applyFont="1" applyFill="1" applyBorder="1" applyAlignment="1">
      <alignment horizontal="center" vertical="center"/>
    </xf>
    <xf numFmtId="3" fontId="11" fillId="6" borderId="20" xfId="0" applyNumberFormat="1" applyFont="1" applyFill="1" applyBorder="1" applyAlignment="1">
      <alignment horizontal="center" vertical="center"/>
    </xf>
    <xf numFmtId="3" fontId="6" fillId="6" borderId="21" xfId="0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3" fontId="6" fillId="6" borderId="23" xfId="0" applyNumberFormat="1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3" fontId="6" fillId="6" borderId="24" xfId="0" applyNumberFormat="1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3" fontId="6" fillId="7" borderId="20" xfId="0" applyNumberFormat="1" applyFont="1" applyFill="1" applyBorder="1" applyAlignment="1">
      <alignment horizontal="center" vertical="center"/>
    </xf>
    <xf numFmtId="164" fontId="8" fillId="7" borderId="20" xfId="0" applyNumberFormat="1" applyFont="1" applyFill="1" applyBorder="1" applyAlignment="1">
      <alignment horizontal="center" vertical="center"/>
    </xf>
    <xf numFmtId="3" fontId="6" fillId="7" borderId="21" xfId="0" applyNumberFormat="1" applyFont="1" applyFill="1" applyBorder="1" applyAlignment="1">
      <alignment horizontal="center" vertical="center"/>
    </xf>
    <xf numFmtId="0" fontId="0" fillId="3" borderId="23" xfId="0" applyFill="1" applyBorder="1" applyAlignment="1"/>
    <xf numFmtId="164" fontId="8" fillId="7" borderId="16" xfId="0" applyNumberFormat="1" applyFont="1" applyFill="1" applyBorder="1" applyAlignment="1">
      <alignment horizontal="center" vertical="center"/>
    </xf>
    <xf numFmtId="164" fontId="8" fillId="7" borderId="18" xfId="0" applyNumberFormat="1" applyFont="1" applyFill="1" applyBorder="1" applyAlignment="1">
      <alignment horizontal="center" vertical="center"/>
    </xf>
    <xf numFmtId="164" fontId="8" fillId="7" borderId="21" xfId="0" applyNumberFormat="1" applyFont="1" applyFill="1" applyBorder="1" applyAlignment="1">
      <alignment horizontal="center" vertical="center"/>
    </xf>
    <xf numFmtId="0" fontId="0" fillId="3" borderId="24" xfId="0" applyFill="1" applyBorder="1" applyAlignment="1"/>
    <xf numFmtId="0" fontId="13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left" vertical="center"/>
    </xf>
    <xf numFmtId="3" fontId="8" fillId="7" borderId="16" xfId="0" applyNumberFormat="1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/>
    </xf>
    <xf numFmtId="3" fontId="8" fillId="7" borderId="18" xfId="0" applyNumberFormat="1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left" vertical="center"/>
    </xf>
    <xf numFmtId="3" fontId="11" fillId="7" borderId="20" xfId="0" applyNumberFormat="1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 vertical="center"/>
    </xf>
    <xf numFmtId="3" fontId="11" fillId="7" borderId="16" xfId="0" applyNumberFormat="1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left" vertical="center"/>
    </xf>
    <xf numFmtId="3" fontId="11" fillId="7" borderId="18" xfId="0" applyNumberFormat="1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left" vertical="center"/>
    </xf>
    <xf numFmtId="3" fontId="11" fillId="7" borderId="21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left" vertical="center"/>
    </xf>
    <xf numFmtId="0" fontId="6" fillId="7" borderId="29" xfId="0" applyFont="1" applyFill="1" applyBorder="1" applyAlignment="1">
      <alignment horizontal="center" vertical="center"/>
    </xf>
    <xf numFmtId="3" fontId="11" fillId="7" borderId="29" xfId="0" applyNumberFormat="1" applyFont="1" applyFill="1" applyBorder="1" applyAlignment="1">
      <alignment horizontal="center" vertical="center"/>
    </xf>
    <xf numFmtId="164" fontId="11" fillId="7" borderId="30" xfId="0" applyNumberFormat="1" applyFont="1" applyFill="1" applyBorder="1" applyAlignment="1">
      <alignment horizontal="center" vertical="center"/>
    </xf>
    <xf numFmtId="3" fontId="12" fillId="7" borderId="15" xfId="0" applyNumberFormat="1" applyFont="1" applyFill="1" applyBorder="1" applyAlignment="1">
      <alignment horizontal="center" vertical="center"/>
    </xf>
    <xf numFmtId="3" fontId="12" fillId="7" borderId="6" xfId="0" applyNumberFormat="1" applyFont="1" applyFill="1" applyBorder="1" applyAlignment="1">
      <alignment horizontal="center" vertical="center"/>
    </xf>
    <xf numFmtId="3" fontId="12" fillId="7" borderId="20" xfId="0" applyNumberFormat="1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166" fontId="6" fillId="7" borderId="29" xfId="0" applyNumberFormat="1" applyFont="1" applyFill="1" applyBorder="1" applyAlignment="1">
      <alignment horizontal="center" vertical="center"/>
    </xf>
    <xf numFmtId="166" fontId="6" fillId="7" borderId="30" xfId="0" applyNumberFormat="1" applyFont="1" applyFill="1" applyBorder="1" applyAlignment="1">
      <alignment horizontal="center" vertical="center"/>
    </xf>
    <xf numFmtId="1" fontId="6" fillId="7" borderId="17" xfId="0" applyNumberFormat="1" applyFont="1" applyFill="1" applyBorder="1" applyAlignment="1">
      <alignment horizontal="center" vertical="center"/>
    </xf>
    <xf numFmtId="1" fontId="6" fillId="6" borderId="19" xfId="0" applyNumberFormat="1" applyFont="1" applyFill="1" applyBorder="1" applyAlignment="1">
      <alignment horizontal="center" vertical="center"/>
    </xf>
    <xf numFmtId="3" fontId="14" fillId="6" borderId="20" xfId="0" applyNumberFormat="1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3" fontId="17" fillId="7" borderId="19" xfId="0" applyNumberFormat="1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164" fontId="17" fillId="7" borderId="19" xfId="0" applyNumberFormat="1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0" fillId="8" borderId="0" xfId="0" applyFill="1" applyAlignment="1"/>
    <xf numFmtId="0" fontId="6" fillId="4" borderId="35" xfId="0" applyFont="1" applyFill="1" applyBorder="1" applyAlignment="1">
      <alignment horizontal="center" vertical="center"/>
    </xf>
    <xf numFmtId="0" fontId="0" fillId="0" borderId="0" xfId="0" applyAlignment="1"/>
    <xf numFmtId="0" fontId="12" fillId="8" borderId="0" xfId="0" applyFont="1" applyFill="1" applyAlignment="1">
      <alignment horizontal="left" vertical="center"/>
    </xf>
    <xf numFmtId="0" fontId="0" fillId="13" borderId="0" xfId="0" applyFill="1" applyAlignment="1"/>
    <xf numFmtId="0" fontId="23" fillId="11" borderId="6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0" fillId="14" borderId="0" xfId="0" applyFill="1" applyAlignment="1"/>
    <xf numFmtId="3" fontId="24" fillId="7" borderId="19" xfId="0" applyNumberFormat="1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49" fontId="24" fillId="7" borderId="19" xfId="0" applyNumberFormat="1" applyFont="1" applyFill="1" applyBorder="1" applyAlignment="1">
      <alignment horizontal="center" vertical="center"/>
    </xf>
    <xf numFmtId="164" fontId="24" fillId="7" borderId="19" xfId="0" applyNumberFormat="1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1" fillId="9" borderId="0" xfId="0" applyFont="1" applyFill="1" applyAlignment="1"/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/>
    <xf numFmtId="0" fontId="27" fillId="9" borderId="0" xfId="0" applyFont="1" applyFill="1" applyAlignment="1"/>
    <xf numFmtId="0" fontId="27" fillId="0" borderId="0" xfId="0" applyFont="1" applyAlignment="1">
      <alignment vertical="center"/>
    </xf>
    <xf numFmtId="0" fontId="28" fillId="7" borderId="0" xfId="0" applyFont="1" applyFill="1" applyAlignment="1">
      <alignment horizontal="left" vertical="center"/>
    </xf>
    <xf numFmtId="0" fontId="29" fillId="0" borderId="0" xfId="0" applyFont="1" applyAlignment="1"/>
    <xf numFmtId="0" fontId="29" fillId="9" borderId="0" xfId="0" applyFont="1" applyFill="1" applyAlignment="1"/>
    <xf numFmtId="0" fontId="29" fillId="0" borderId="0" xfId="0" applyFont="1" applyAlignment="1">
      <alignment vertical="center"/>
    </xf>
    <xf numFmtId="0" fontId="27" fillId="14" borderId="0" xfId="0" applyFont="1" applyFill="1" applyAlignment="1"/>
    <xf numFmtId="0" fontId="30" fillId="5" borderId="14" xfId="0" applyFont="1" applyFill="1" applyBorder="1" applyAlignment="1">
      <alignment horizontal="center" vertical="center"/>
    </xf>
    <xf numFmtId="0" fontId="30" fillId="5" borderId="16" xfId="0" applyFont="1" applyFill="1" applyBorder="1" applyAlignment="1">
      <alignment horizontal="center" vertical="center"/>
    </xf>
    <xf numFmtId="0" fontId="31" fillId="14" borderId="0" xfId="0" applyFont="1" applyFill="1" applyAlignment="1"/>
    <xf numFmtId="0" fontId="31" fillId="9" borderId="0" xfId="0" applyFont="1" applyFill="1" applyAlignment="1"/>
    <xf numFmtId="0" fontId="31" fillId="0" borderId="0" xfId="0" applyFont="1" applyAlignment="1">
      <alignment vertical="center"/>
    </xf>
    <xf numFmtId="0" fontId="18" fillId="16" borderId="2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3" fontId="6" fillId="12" borderId="6" xfId="0" applyNumberFormat="1" applyFont="1" applyFill="1" applyBorder="1" applyAlignment="1">
      <alignment horizontal="center" vertical="center"/>
    </xf>
    <xf numFmtId="3" fontId="6" fillId="12" borderId="7" xfId="0" applyNumberFormat="1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3" fontId="6" fillId="12" borderId="9" xfId="0" applyNumberFormat="1" applyFont="1" applyFill="1" applyBorder="1" applyAlignment="1">
      <alignment horizontal="center" vertical="center"/>
    </xf>
    <xf numFmtId="3" fontId="6" fillId="12" borderId="10" xfId="0" applyNumberFormat="1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4" borderId="0" xfId="0" applyFill="1" applyAlignment="1"/>
    <xf numFmtId="0" fontId="32" fillId="9" borderId="0" xfId="0" applyFont="1" applyFill="1" applyAlignment="1"/>
    <xf numFmtId="0" fontId="33" fillId="9" borderId="0" xfId="0" applyFont="1" applyFill="1" applyAlignment="1"/>
    <xf numFmtId="0" fontId="34" fillId="9" borderId="0" xfId="0" applyFont="1" applyFill="1" applyAlignment="1"/>
    <xf numFmtId="0" fontId="29" fillId="11" borderId="0" xfId="0" applyFont="1" applyFill="1" applyAlignment="1"/>
    <xf numFmtId="0" fontId="8" fillId="12" borderId="14" xfId="0" applyFont="1" applyFill="1" applyBorder="1" applyAlignment="1">
      <alignment horizontal="left" vertical="center"/>
    </xf>
    <xf numFmtId="3" fontId="11" fillId="12" borderId="15" xfId="0" applyNumberFormat="1" applyFont="1" applyFill="1" applyBorder="1" applyAlignment="1">
      <alignment horizontal="center" vertical="center"/>
    </xf>
    <xf numFmtId="0" fontId="15" fillId="12" borderId="16" xfId="0" applyFont="1" applyFill="1" applyBorder="1" applyAlignment="1">
      <alignment horizontal="left" vertical="center"/>
    </xf>
    <xf numFmtId="0" fontId="0" fillId="17" borderId="0" xfId="0" applyFill="1" applyAlignment="1"/>
    <xf numFmtId="0" fontId="8" fillId="12" borderId="17" xfId="0" applyFont="1" applyFill="1" applyBorder="1" applyAlignment="1">
      <alignment horizontal="left" vertical="center"/>
    </xf>
    <xf numFmtId="167" fontId="11" fillId="12" borderId="6" xfId="0" applyNumberFormat="1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left" vertical="center"/>
    </xf>
    <xf numFmtId="3" fontId="11" fillId="12" borderId="6" xfId="0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left" vertical="center"/>
    </xf>
    <xf numFmtId="3" fontId="11" fillId="12" borderId="20" xfId="0" applyNumberFormat="1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left" vertical="center"/>
    </xf>
    <xf numFmtId="0" fontId="30" fillId="5" borderId="15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6" fillId="18" borderId="5" xfId="0" applyFont="1" applyFill="1" applyBorder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0" fontId="36" fillId="7" borderId="8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3" fontId="36" fillId="7" borderId="8" xfId="0" applyNumberFormat="1" applyFont="1" applyFill="1" applyBorder="1" applyAlignment="1">
      <alignment horizontal="center" vertical="center"/>
    </xf>
    <xf numFmtId="0" fontId="21" fillId="14" borderId="0" xfId="0" applyFont="1" applyFill="1" applyAlignment="1"/>
    <xf numFmtId="0" fontId="21" fillId="9" borderId="0" xfId="0" applyFont="1" applyFill="1" applyAlignment="1"/>
    <xf numFmtId="0" fontId="37" fillId="9" borderId="0" xfId="0" applyFont="1" applyFill="1" applyAlignment="1"/>
    <xf numFmtId="0" fontId="21" fillId="0" borderId="0" xfId="0" applyFont="1" applyAlignment="1">
      <alignment vertical="center"/>
    </xf>
    <xf numFmtId="0" fontId="26" fillId="15" borderId="2" xfId="0" applyFont="1" applyFill="1" applyBorder="1" applyAlignment="1">
      <alignment horizontal="center" vertical="center"/>
    </xf>
    <xf numFmtId="0" fontId="26" fillId="15" borderId="3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center" vertical="center"/>
    </xf>
    <xf numFmtId="0" fontId="27" fillId="14" borderId="6" xfId="0" applyFont="1" applyFill="1" applyBorder="1" applyAlignment="1"/>
    <xf numFmtId="0" fontId="38" fillId="9" borderId="0" xfId="0" applyFont="1" applyFill="1" applyAlignment="1"/>
    <xf numFmtId="0" fontId="20" fillId="6" borderId="33" xfId="0" applyFont="1" applyFill="1" applyBorder="1" applyAlignment="1">
      <alignment horizontal="center" vertical="center"/>
    </xf>
    <xf numFmtId="0" fontId="20" fillId="6" borderId="34" xfId="0" applyFont="1" applyFill="1" applyBorder="1" applyAlignment="1">
      <alignment horizontal="center" vertical="center"/>
    </xf>
    <xf numFmtId="0" fontId="42" fillId="14" borderId="0" xfId="0" applyFont="1" applyFill="1" applyAlignment="1"/>
    <xf numFmtId="0" fontId="39" fillId="14" borderId="6" xfId="1" applyFont="1" applyFill="1" applyBorder="1">
      <alignment vertical="center"/>
    </xf>
    <xf numFmtId="0" fontId="39" fillId="14" borderId="6" xfId="1" applyFont="1" applyFill="1" applyBorder="1">
      <alignment vertical="center"/>
    </xf>
    <xf numFmtId="0" fontId="41" fillId="14" borderId="41" xfId="1" applyFont="1" applyFill="1" applyBorder="1">
      <alignment vertical="center"/>
    </xf>
    <xf numFmtId="0" fontId="41" fillId="14" borderId="43" xfId="1" applyFont="1" applyFill="1" applyBorder="1">
      <alignment vertical="center"/>
    </xf>
    <xf numFmtId="0" fontId="21" fillId="14" borderId="6" xfId="0" applyFont="1" applyFill="1" applyBorder="1" applyAlignment="1"/>
    <xf numFmtId="0" fontId="23" fillId="11" borderId="40" xfId="0" applyFont="1" applyFill="1" applyBorder="1" applyAlignment="1">
      <alignment horizontal="center" vertical="center"/>
    </xf>
    <xf numFmtId="0" fontId="23" fillId="11" borderId="45" xfId="0" applyFont="1" applyFill="1" applyBorder="1" applyAlignment="1">
      <alignment horizontal="center" vertical="center"/>
    </xf>
    <xf numFmtId="0" fontId="23" fillId="11" borderId="41" xfId="0" applyFont="1" applyFill="1" applyBorder="1" applyAlignment="1">
      <alignment horizontal="center" vertical="center"/>
    </xf>
    <xf numFmtId="0" fontId="23" fillId="11" borderId="44" xfId="0" applyFont="1" applyFill="1" applyBorder="1" applyAlignment="1">
      <alignment horizontal="center" vertical="center"/>
    </xf>
    <xf numFmtId="0" fontId="23" fillId="11" borderId="46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23" fillId="11" borderId="47" xfId="0" applyFont="1" applyFill="1" applyBorder="1" applyAlignment="1">
      <alignment horizontal="center" vertical="center"/>
    </xf>
    <xf numFmtId="0" fontId="40" fillId="14" borderId="40" xfId="0" applyFont="1" applyFill="1" applyBorder="1" applyAlignment="1"/>
    <xf numFmtId="0" fontId="41" fillId="14" borderId="45" xfId="1" applyFont="1" applyFill="1" applyBorder="1">
      <alignment vertical="center"/>
    </xf>
    <xf numFmtId="0" fontId="40" fillId="14" borderId="42" xfId="0" applyFont="1" applyFill="1" applyBorder="1" applyAlignment="1"/>
    <xf numFmtId="0" fontId="41" fillId="14" borderId="47" xfId="1" applyFont="1" applyFill="1" applyBorder="1">
      <alignment vertical="center"/>
    </xf>
    <xf numFmtId="0" fontId="43" fillId="10" borderId="35" xfId="0" applyFont="1" applyFill="1" applyBorder="1" applyAlignment="1">
      <alignment horizontal="center" vertical="center"/>
    </xf>
    <xf numFmtId="0" fontId="43" fillId="10" borderId="32" xfId="0" applyFont="1" applyFill="1" applyBorder="1" applyAlignment="1">
      <alignment horizontal="center" vertical="center"/>
    </xf>
    <xf numFmtId="0" fontId="43" fillId="10" borderId="6" xfId="0" applyFont="1" applyFill="1" applyBorder="1" applyAlignment="1">
      <alignment horizontal="center" vertical="center"/>
    </xf>
    <xf numFmtId="0" fontId="43" fillId="10" borderId="39" xfId="0" applyFont="1" applyFill="1" applyBorder="1" applyAlignment="1">
      <alignment horizontal="center" vertical="center"/>
    </xf>
    <xf numFmtId="0" fontId="43" fillId="10" borderId="36" xfId="0" applyFont="1" applyFill="1" applyBorder="1" applyAlignment="1">
      <alignment horizontal="center" vertical="center"/>
    </xf>
    <xf numFmtId="0" fontId="43" fillId="10" borderId="3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1"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00000000-0011-0000-FFFF-FFFF01000000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FF0E7490"/>
      <color rgb="FF081322"/>
      <color rgb="FF0F2038"/>
      <color rgb="FF1C3A63"/>
      <color rgb="FF162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Trend  (with Target line)</a:t>
            </a:r>
          </a:p>
        </c:rich>
      </c:tx>
      <c:layout>
        <c:manualLayout>
          <c:xMode val="edge"/>
          <c:yMode val="edge"/>
          <c:x val="0.2271299701604844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84444513036778"/>
          <c:y val="5.7575743837808675E-2"/>
          <c:w val="0.73395503708326537"/>
          <c:h val="0.8485391767889195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Calc!$I$41</c:f>
              <c:strCache>
                <c:ptCount val="1"/>
                <c:pt idx="0">
                  <c:v>Revenue USD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76000"/>
                    <a:hueOff val="-2520000"/>
                  </a:schemeClr>
                </a:gs>
                <a:gs pos="100000">
                  <a:schemeClr val="accent5">
                    <a:shade val="76000"/>
                  </a:schemeClr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Dashboard!$AD$2:$AD$13</c:f>
              <c:strCache>
                <c:ptCount val="12"/>
                <c:pt idx="0">
                  <c:v>Jan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Calc!$I$42:$I$53</c:f>
              <c:numCache>
                <c:formatCode>#,##0</c:formatCode>
                <c:ptCount val="12"/>
                <c:pt idx="0">
                  <c:v>798620.35000000009</c:v>
                </c:pt>
                <c:pt idx="1">
                  <c:v>384847.49</c:v>
                </c:pt>
                <c:pt idx="2">
                  <c:v>75262.539999999994</c:v>
                </c:pt>
                <c:pt idx="3">
                  <c:v>431756.67000000004</c:v>
                </c:pt>
                <c:pt idx="4">
                  <c:v>208424.18</c:v>
                </c:pt>
                <c:pt idx="5">
                  <c:v>270459.49</c:v>
                </c:pt>
                <c:pt idx="6">
                  <c:v>490806.39999999997</c:v>
                </c:pt>
                <c:pt idx="7">
                  <c:v>383846.58999999997</c:v>
                </c:pt>
                <c:pt idx="8">
                  <c:v>472693.69</c:v>
                </c:pt>
                <c:pt idx="9">
                  <c:v>156417.44000000003</c:v>
                </c:pt>
                <c:pt idx="10">
                  <c:v>309229.51999999996</c:v>
                </c:pt>
                <c:pt idx="11">
                  <c:v>931831.9500000003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9-44D0-8258-567B27C6A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Dashboard!$AC$3:$AC$14</c:f>
              <c:numCache>
                <c:formatCode>General</c:formatCode>
                <c:ptCount val="12"/>
                <c:pt idx="1">
                  <c:v>4914196.3100000005</c:v>
                </c:pt>
                <c:pt idx="2">
                  <c:v>4914196.3100000005</c:v>
                </c:pt>
                <c:pt idx="3">
                  <c:v>4914196.3100000005</c:v>
                </c:pt>
                <c:pt idx="4">
                  <c:v>4914196.3100000005</c:v>
                </c:pt>
                <c:pt idx="5">
                  <c:v>4914196.3100000005</c:v>
                </c:pt>
                <c:pt idx="6">
                  <c:v>4914196.3100000005</c:v>
                </c:pt>
                <c:pt idx="7">
                  <c:v>4914196.3100000005</c:v>
                </c:pt>
                <c:pt idx="8">
                  <c:v>4914196.3100000005</c:v>
                </c:pt>
                <c:pt idx="9">
                  <c:v>4914196.3100000005</c:v>
                </c:pt>
                <c:pt idx="10">
                  <c:v>4914196.3100000005</c:v>
                </c:pt>
                <c:pt idx="11">
                  <c:v>4914196.3100000005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9-44D0-8258-567B27C6A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vs Profit </a:t>
            </a:r>
            <a:br>
              <a:rPr lang="en-US"/>
            </a:br>
            <a:r>
              <a:rPr lang="en-US"/>
              <a:t> (Profit on secondary axis)</a:t>
            </a:r>
          </a:p>
        </c:rich>
      </c:tx>
      <c:layout>
        <c:manualLayout>
          <c:xMode val="edge"/>
          <c:yMode val="edge"/>
          <c:x val="0.23209213908032805"/>
          <c:y val="5.0685346777194871E-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Calc!$I$41</c:f>
              <c:strCache>
                <c:ptCount val="1"/>
                <c:pt idx="0">
                  <c:v>Revenue USD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Dashboard!$AD$2:$AD$13</c:f>
              <c:strCache>
                <c:ptCount val="12"/>
                <c:pt idx="0">
                  <c:v>Jan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Calc!$I$42:$I$53</c:f>
              <c:numCache>
                <c:formatCode>#,##0</c:formatCode>
                <c:ptCount val="12"/>
                <c:pt idx="0">
                  <c:v>798620.35000000009</c:v>
                </c:pt>
                <c:pt idx="1">
                  <c:v>384847.49</c:v>
                </c:pt>
                <c:pt idx="2">
                  <c:v>75262.539999999994</c:v>
                </c:pt>
                <c:pt idx="3">
                  <c:v>431756.67000000004</c:v>
                </c:pt>
                <c:pt idx="4">
                  <c:v>208424.18</c:v>
                </c:pt>
                <c:pt idx="5">
                  <c:v>270459.49</c:v>
                </c:pt>
                <c:pt idx="6">
                  <c:v>490806.39999999997</c:v>
                </c:pt>
                <c:pt idx="7">
                  <c:v>383846.58999999997</c:v>
                </c:pt>
                <c:pt idx="8">
                  <c:v>472693.69</c:v>
                </c:pt>
                <c:pt idx="9">
                  <c:v>156417.44000000003</c:v>
                </c:pt>
                <c:pt idx="10">
                  <c:v>309229.51999999996</c:v>
                </c:pt>
                <c:pt idx="11">
                  <c:v>931831.9500000003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5-46E3-ACFD-4DB7C831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Calc!$J$41</c:f>
              <c:strCache>
                <c:ptCount val="1"/>
                <c:pt idx="0">
                  <c:v>Profit USD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Calc!$J$42:$J$53</c:f>
              <c:numCache>
                <c:formatCode>#,##0</c:formatCode>
                <c:ptCount val="12"/>
                <c:pt idx="0">
                  <c:v>303475.74</c:v>
                </c:pt>
                <c:pt idx="1">
                  <c:v>146242.03999999998</c:v>
                </c:pt>
                <c:pt idx="2">
                  <c:v>28599.760000000002</c:v>
                </c:pt>
                <c:pt idx="3">
                  <c:v>164067.55000000002</c:v>
                </c:pt>
                <c:pt idx="4">
                  <c:v>79201.190000000017</c:v>
                </c:pt>
                <c:pt idx="5">
                  <c:v>102774.62</c:v>
                </c:pt>
                <c:pt idx="6">
                  <c:v>186506.44</c:v>
                </c:pt>
                <c:pt idx="7">
                  <c:v>145861.68999999997</c:v>
                </c:pt>
                <c:pt idx="8">
                  <c:v>179623.61000000002</c:v>
                </c:pt>
                <c:pt idx="9">
                  <c:v>59438.630000000005</c:v>
                </c:pt>
                <c:pt idx="10">
                  <c:v>117507.21000000002</c:v>
                </c:pt>
                <c:pt idx="11">
                  <c:v>354096.13999999996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55-46E3-ACFD-4DB7C831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/>
              <a:t>Revenue by Year </a:t>
            </a:r>
            <a:br>
              <a:rPr lang="en-US" sz="1100"/>
            </a:br>
            <a:r>
              <a:rPr lang="en-US" sz="1100"/>
              <a:t> (YOY comparison)</a:t>
            </a:r>
          </a:p>
        </c:rich>
      </c:tx>
      <c:layout>
        <c:manualLayout>
          <c:xMode val="edge"/>
          <c:yMode val="edge"/>
          <c:x val="0.52771365402546622"/>
          <c:y val="0.108718671086705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4776747323317"/>
          <c:y val="7.6448218841958335E-2"/>
          <c:w val="0.81018888888888885"/>
          <c:h val="0.85828456790123453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6B-43B5-AABB-45C7115458FB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6B-43B5-AABB-45C7115458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Calc!$A$192:$A$193</c:f>
              <c:numCache>
                <c:formatCode>0</c:formatCode>
                <c:ptCount val="2"/>
                <c:pt idx="0">
                  <c:v>2024</c:v>
                </c:pt>
                <c:pt idx="1">
                  <c:v>2023</c:v>
                </c:pt>
              </c:numCache>
            </c:numRef>
          </c:cat>
          <c:val>
            <c:numRef>
              <c:f>Calc!$B$192:$B$193</c:f>
              <c:numCache>
                <c:formatCode>#,##0</c:formatCode>
                <c:ptCount val="2"/>
                <c:pt idx="0">
                  <c:v>4914196.3100000015</c:v>
                </c:pt>
                <c:pt idx="1">
                  <c:v>3304045.1900000009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6B-43B5-AABB-45C7115458F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hueOff val="-25200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hueOff val="-2520000"/>
                    </a:schemeClr>
                  </a:gs>
                  <a:gs pos="100000">
                    <a:schemeClr val="accent4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>
                      <a:hueOff val="-2520000"/>
                    </a:schemeClr>
                  </a:gs>
                  <a:gs pos="100000">
                    <a:schemeClr val="accent5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>
                      <a:hueOff val="-2520000"/>
                    </a:schemeClr>
                  </a:gs>
                  <a:gs pos="100000">
                    <a:schemeClr val="accent6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  <a:hueOff val="-252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  <a:hueOff val="-252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  <a:hueOff val="-252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  <a:hueOff val="-252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Calc!$B$123:$B$132</c:f>
              <c:strCache>
                <c:ptCount val="10"/>
                <c:pt idx="0">
                  <c:v>Headset</c:v>
                </c:pt>
                <c:pt idx="1">
                  <c:v>Sofa</c:v>
                </c:pt>
                <c:pt idx="2">
                  <c:v>Desk</c:v>
                </c:pt>
                <c:pt idx="3">
                  <c:v>Smartphone</c:v>
                </c:pt>
                <c:pt idx="4">
                  <c:v>Monitor</c:v>
                </c:pt>
                <c:pt idx="5">
                  <c:v>Bookshelf</c:v>
                </c:pt>
                <c:pt idx="6">
                  <c:v>Tablet</c:v>
                </c:pt>
                <c:pt idx="7">
                  <c:v>Laptop</c:v>
                </c:pt>
                <c:pt idx="8">
                  <c:v>Office Chair</c:v>
                </c:pt>
                <c:pt idx="9">
                  <c:v>Floor Lamp</c:v>
                </c:pt>
              </c:strCache>
            </c:strRef>
          </c:cat>
          <c:val>
            <c:numRef>
              <c:f>Calc!$C$123:$C$132</c:f>
              <c:numCache>
                <c:formatCode>#,##0</c:formatCode>
                <c:ptCount val="10"/>
                <c:pt idx="0">
                  <c:v>759688.02</c:v>
                </c:pt>
                <c:pt idx="1">
                  <c:v>691271.67</c:v>
                </c:pt>
                <c:pt idx="2">
                  <c:v>548078.28</c:v>
                </c:pt>
                <c:pt idx="3">
                  <c:v>471256.17000000004</c:v>
                </c:pt>
                <c:pt idx="4">
                  <c:v>435057.76999999996</c:v>
                </c:pt>
                <c:pt idx="5">
                  <c:v>425258.29000000004</c:v>
                </c:pt>
                <c:pt idx="6">
                  <c:v>411205.34</c:v>
                </c:pt>
                <c:pt idx="7">
                  <c:v>360465.91999999998</c:v>
                </c:pt>
                <c:pt idx="8">
                  <c:v>216559.27999999997</c:v>
                </c:pt>
                <c:pt idx="9">
                  <c:v>123282.81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C-4500-A600-7C020A57D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Category Share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47044253969612"/>
          <c:y val="0.19060625820777824"/>
          <c:w val="0.41905936369774371"/>
          <c:h val="0.6645029099273632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49-44B4-89A7-02A91D45D3A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49-44B4-89A7-02A91D45D3A3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25200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49-44B4-89A7-02A91D45D3A3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2520000"/>
                    </a:schemeClr>
                  </a:gs>
                  <a:gs pos="100000">
                    <a:schemeClr val="accent4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49-44B4-89A7-02A91D45D3A3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2520000"/>
                    </a:schemeClr>
                  </a:gs>
                  <a:gs pos="100000">
                    <a:schemeClr val="accent5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49-44B4-89A7-02A91D45D3A3}"/>
              </c:ext>
            </c:extLst>
          </c:dPt>
          <c:dLbls>
            <c:dLbl>
              <c:idx val="0"/>
              <c:layout>
                <c:manualLayout>
                  <c:x val="-0.27207439944290507"/>
                  <c:y val="2.859346158032413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9-44B4-89A7-02A91D45D3A3}"/>
                </c:ext>
              </c:extLst>
            </c:dLbl>
            <c:dLbl>
              <c:idx val="1"/>
              <c:layout>
                <c:manualLayout>
                  <c:x val="9.0302295419387529E-2"/>
                  <c:y val="-0.16240205068819044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49-44B4-89A7-02A91D45D3A3}"/>
                </c:ext>
              </c:extLst>
            </c:dLbl>
            <c:dLbl>
              <c:idx val="2"/>
              <c:layout>
                <c:manualLayout>
                  <c:x val="0.24177789897947083"/>
                  <c:y val="-9.0487653000101434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49-44B4-89A7-02A91D45D3A3}"/>
                </c:ext>
              </c:extLst>
            </c:dLbl>
            <c:dLbl>
              <c:idx val="3"/>
              <c:layout>
                <c:manualLayout>
                  <c:x val="0.20852499538518401"/>
                  <c:y val="3.0059847499529575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49-44B4-89A7-02A91D45D3A3}"/>
                </c:ext>
              </c:extLst>
            </c:dLbl>
            <c:dLbl>
              <c:idx val="4"/>
              <c:layout>
                <c:manualLayout>
                  <c:x val="-0.12637878508192979"/>
                  <c:y val="5.0099745832549294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49-44B4-89A7-02A91D45D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Calc!$A$75:$A$79</c:f>
              <c:strCache>
                <c:ptCount val="5"/>
                <c:pt idx="0">
                  <c:v>Grocery</c:v>
                </c:pt>
                <c:pt idx="1">
                  <c:v>Furniture</c:v>
                </c:pt>
                <c:pt idx="2">
                  <c:v>Clothing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Calc!$F$75:$F$79</c:f>
              <c:numCache>
                <c:formatCode>#,##0</c:formatCode>
                <c:ptCount val="5"/>
                <c:pt idx="0">
                  <c:v>83951.659999999974</c:v>
                </c:pt>
                <c:pt idx="1">
                  <c:v>2004450.33</c:v>
                </c:pt>
                <c:pt idx="2">
                  <c:v>216590.40999999997</c:v>
                </c:pt>
                <c:pt idx="3">
                  <c:v>171530.68999999994</c:v>
                </c:pt>
                <c:pt idx="4">
                  <c:v>2437673.2199999997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49-44B4-89A7-02A91D45D3A3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65555555555556"/>
          <c:y val="6.3117901234567897E-2"/>
          <c:w val="0.81018888888888885"/>
          <c:h val="0.85828456790123453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hueOff val="-25200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hueOff val="-2520000"/>
                    </a:schemeClr>
                  </a:gs>
                  <a:gs pos="100000">
                    <a:schemeClr val="accent4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>
                      <a:hueOff val="-2520000"/>
                    </a:schemeClr>
                  </a:gs>
                  <a:gs pos="100000">
                    <a:schemeClr val="accent5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Calc!$A$66:$A$70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Calc!$F$66:$F$70</c:f>
              <c:numCache>
                <c:formatCode>#,##0</c:formatCode>
                <c:ptCount val="5"/>
                <c:pt idx="0">
                  <c:v>644006.04000000015</c:v>
                </c:pt>
                <c:pt idx="1">
                  <c:v>1432864.93</c:v>
                </c:pt>
                <c:pt idx="2">
                  <c:v>837545.24</c:v>
                </c:pt>
                <c:pt idx="3">
                  <c:v>1083542.3099999998</c:v>
                </c:pt>
                <c:pt idx="4">
                  <c:v>916237.7899999998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2-4F3D-AFBD-4C6EB58C8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</a:p>
        </c:rich>
      </c:tx>
      <c:layout>
        <c:manualLayout>
          <c:xMode val="edge"/>
          <c:yMode val="edge"/>
          <c:x val="0.20629621947942239"/>
          <c:y val="1.95988074986154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7066666666666"/>
          <c:y val="5.2380972021361841E-2"/>
          <c:w val="0.84349600000000002"/>
          <c:h val="0.78484131415122393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3">
                      <a:hueOff val="-25200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5">
                      <a:hueOff val="-2520000"/>
                    </a:schemeClr>
                  </a:gs>
                  <a:gs pos="100000">
                    <a:schemeClr val="accent5"/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  <a:hueOff val="-252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  <a:hueOff val="-252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  <a:hueOff val="-252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Calc!$A$84:$A$89</c:f>
              <c:strCache>
                <c:ptCount val="6"/>
                <c:pt idx="0">
                  <c:v>Ahmed Hassan</c:v>
                </c:pt>
                <c:pt idx="1">
                  <c:v>Sara Ali</c:v>
                </c:pt>
                <c:pt idx="2">
                  <c:v>Omar Mostafa</c:v>
                </c:pt>
                <c:pt idx="3">
                  <c:v>Nour Ibrahim</c:v>
                </c:pt>
                <c:pt idx="4">
                  <c:v>Khaled Youssef</c:v>
                </c:pt>
                <c:pt idx="5">
                  <c:v>Mona Adel</c:v>
                </c:pt>
              </c:strCache>
            </c:strRef>
          </c:cat>
          <c:val>
            <c:numRef>
              <c:f>Calc!$F$84:$F$89</c:f>
              <c:numCache>
                <c:formatCode>#,##0</c:formatCode>
                <c:ptCount val="6"/>
                <c:pt idx="0">
                  <c:v>873158.79</c:v>
                </c:pt>
                <c:pt idx="1">
                  <c:v>677603.15000000014</c:v>
                </c:pt>
                <c:pt idx="2">
                  <c:v>635295.81000000006</c:v>
                </c:pt>
                <c:pt idx="3">
                  <c:v>631248.94999999995</c:v>
                </c:pt>
                <c:pt idx="4">
                  <c:v>761218.98</c:v>
                </c:pt>
                <c:pt idx="5">
                  <c:v>1335670.6299999999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B-453C-A2ED-F5F732D91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60960</xdr:colOff>
      <xdr:row>17</xdr:row>
      <xdr:rowOff>284480</xdr:rowOff>
    </xdr:from>
    <xdr:ext cx="6268720" cy="3043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11</xdr:row>
      <xdr:rowOff>17661</xdr:rowOff>
    </xdr:from>
    <xdr:ext cx="4886960" cy="264425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406400</xdr:colOff>
      <xdr:row>10</xdr:row>
      <xdr:rowOff>436880</xdr:rowOff>
    </xdr:from>
    <xdr:ext cx="4013200" cy="26822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812800</xdr:colOff>
      <xdr:row>17</xdr:row>
      <xdr:rowOff>287722</xdr:rowOff>
    </xdr:from>
    <xdr:ext cx="7000240" cy="306507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202447</xdr:colOff>
      <xdr:row>11</xdr:row>
      <xdr:rowOff>26036</xdr:rowOff>
    </xdr:from>
    <xdr:ext cx="4928424" cy="264604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17</xdr:row>
      <xdr:rowOff>277680</xdr:rowOff>
    </xdr:from>
    <xdr:ext cx="5506720" cy="307512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447165</xdr:colOff>
      <xdr:row>11</xdr:row>
      <xdr:rowOff>20058</xdr:rowOff>
    </xdr:from>
    <xdr:ext cx="4826293" cy="2666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N721" totalsRowShown="0">
  <autoFilter ref="A1:N721" xr:uid="{00000000-0009-0000-0100-000001000000}"/>
  <tableColumns count="14">
    <tableColumn id="1" xr3:uid="{00000000-0010-0000-0000-000001000000}" name="Date" dataDxfId="13"/>
    <tableColumn id="2" xr3:uid="{00000000-0010-0000-0000-000002000000}" name="Year" dataDxfId="12"/>
    <tableColumn id="3" xr3:uid="{00000000-0010-0000-0000-000003000000}" name="Quarter" dataDxfId="11"/>
    <tableColumn id="4" xr3:uid="{00000000-0010-0000-0000-000004000000}" name="MonthNum" dataDxfId="10"/>
    <tableColumn id="5" xr3:uid="{00000000-0010-0000-0000-000005000000}" name="Month" dataDxfId="9"/>
    <tableColumn id="6" xr3:uid="{00000000-0010-0000-0000-000006000000}" name="Region" dataDxfId="8"/>
    <tableColumn id="7" xr3:uid="{00000000-0010-0000-0000-000007000000}" name="Category" dataDxfId="7"/>
    <tableColumn id="8" xr3:uid="{00000000-0010-0000-0000-000008000000}" name="Product" dataDxfId="6"/>
    <tableColumn id="9" xr3:uid="{00000000-0010-0000-0000-000009000000}" name="Salesperson" dataDxfId="5"/>
    <tableColumn id="10" xr3:uid="{00000000-0010-0000-0000-00000A000000}" name="Units" dataDxfId="4"/>
    <tableColumn id="11" xr3:uid="{00000000-0010-0000-0000-00000B000000}" name="Unit Price" dataDxfId="3"/>
    <tableColumn id="12" xr3:uid="{00000000-0010-0000-0000-00000C000000}" name="Revenue" dataDxfId="2"/>
    <tableColumn id="13" xr3:uid="{00000000-0010-0000-0000-00000D000000}" name="Cost" dataDxfId="1"/>
    <tableColumn id="14" xr3:uid="{00000000-0010-0000-0000-00000E000000}" name="Profit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D4BF"/>
    <pageSetUpPr autoPageBreaks="0"/>
  </sheetPr>
  <dimension ref="A1:AS170"/>
  <sheetViews>
    <sheetView showGridLines="0" tabSelected="1" zoomScale="75" zoomScaleNormal="75" workbookViewId="0">
      <pane ySplit="11" topLeftCell="A12" activePane="bottomLeft" state="frozen"/>
      <selection pane="bottomLeft" sqref="A1:U1"/>
    </sheetView>
  </sheetViews>
  <sheetFormatPr defaultRowHeight="14.4"/>
  <cols>
    <col min="1" max="1" width="12" style="6" customWidth="1"/>
    <col min="2" max="2" width="9.44140625" style="6" customWidth="1"/>
    <col min="3" max="3" width="12" style="6" customWidth="1"/>
    <col min="4" max="4" width="7.33203125" style="6" customWidth="1"/>
    <col min="5" max="5" width="12" style="6" customWidth="1"/>
    <col min="6" max="6" width="16.77734375" style="6" customWidth="1"/>
    <col min="7" max="7" width="12" style="6" customWidth="1"/>
    <col min="8" max="8" width="16.6640625" style="6" customWidth="1"/>
    <col min="9" max="9" width="12" style="6" customWidth="1"/>
    <col min="10" max="10" width="16.77734375" style="6" customWidth="1"/>
    <col min="11" max="11" width="12" style="6" customWidth="1"/>
    <col min="12" max="12" width="21.6640625" style="6" customWidth="1"/>
    <col min="13" max="14" width="12" style="6" customWidth="1"/>
    <col min="15" max="15" width="8.33203125" style="6" customWidth="1"/>
    <col min="16" max="16" width="19.88671875" style="6" customWidth="1"/>
    <col min="17" max="17" width="16.109375" style="6" customWidth="1"/>
    <col min="18" max="18" width="21.6640625" style="6" customWidth="1"/>
    <col min="19" max="19" width="7.88671875" style="6" customWidth="1"/>
    <col min="20" max="20" width="26.109375" style="6" customWidth="1"/>
    <col min="21" max="30" width="12" style="6" customWidth="1"/>
  </cols>
  <sheetData>
    <row r="1" spans="1:45" ht="25.2" customHeight="1" thickBot="1">
      <c r="A1" s="114" t="s">
        <v>165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7"/>
      <c r="W1" s="7"/>
      <c r="X1" s="7"/>
      <c r="Y1" s="7"/>
      <c r="Z1" s="7"/>
      <c r="AA1" s="7"/>
      <c r="AB1" s="150" t="s">
        <v>0</v>
      </c>
      <c r="AC1" s="150"/>
      <c r="AD1" s="150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ht="15.6" customHeight="1">
      <c r="A2" s="106" t="s">
        <v>3</v>
      </c>
      <c r="B2" s="107"/>
      <c r="C2" s="106" t="s">
        <v>4</v>
      </c>
      <c r="D2" s="107"/>
      <c r="E2" s="106" t="s">
        <v>5</v>
      </c>
      <c r="F2" s="107"/>
      <c r="G2" s="106" t="s">
        <v>6</v>
      </c>
      <c r="H2" s="107"/>
      <c r="I2" s="106" t="s">
        <v>7</v>
      </c>
      <c r="J2" s="107"/>
      <c r="K2" s="106" t="s">
        <v>8</v>
      </c>
      <c r="L2" s="107"/>
      <c r="M2" s="106" t="s">
        <v>9</v>
      </c>
      <c r="N2" s="109"/>
      <c r="O2" s="107"/>
      <c r="P2" s="9" t="s">
        <v>10</v>
      </c>
      <c r="Q2" s="106" t="s">
        <v>11</v>
      </c>
      <c r="R2" s="107"/>
      <c r="S2" s="106" t="s">
        <v>12</v>
      </c>
      <c r="T2" s="107"/>
      <c r="U2" s="112"/>
      <c r="V2" s="7"/>
      <c r="W2" s="7"/>
      <c r="X2" s="7"/>
      <c r="Y2" s="7"/>
      <c r="Z2" s="7"/>
      <c r="AA2" s="7"/>
      <c r="AB2" s="150">
        <f>IF(Q3="USD",1/18.5,1)</f>
        <v>1</v>
      </c>
      <c r="AC2" s="150">
        <f>SUM(Calc!$B$42:$B$53)*(1+AB3/100)*AB2</f>
        <v>7862714.0960000008</v>
      </c>
      <c r="AD2" s="150" t="s">
        <v>1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29.4" customHeight="1" thickBot="1">
      <c r="A3" s="105">
        <v>2024</v>
      </c>
      <c r="B3" s="115"/>
      <c r="C3" s="105" t="s">
        <v>14</v>
      </c>
      <c r="D3" s="115"/>
      <c r="E3" s="105" t="s">
        <v>14</v>
      </c>
      <c r="F3" s="115"/>
      <c r="G3" s="105" t="s">
        <v>14</v>
      </c>
      <c r="H3" s="115"/>
      <c r="I3" s="185" t="s">
        <v>14</v>
      </c>
      <c r="J3" s="186"/>
      <c r="K3" s="105" t="s">
        <v>14</v>
      </c>
      <c r="L3" s="115"/>
      <c r="M3" s="105" t="s">
        <v>14</v>
      </c>
      <c r="N3" s="116"/>
      <c r="O3" s="115"/>
      <c r="P3" s="10">
        <v>60</v>
      </c>
      <c r="Q3" s="105" t="s">
        <v>15</v>
      </c>
      <c r="R3" s="115"/>
      <c r="S3" s="105" t="s">
        <v>16</v>
      </c>
      <c r="T3" s="115"/>
      <c r="U3" s="112"/>
      <c r="V3" s="7"/>
      <c r="W3" s="7"/>
      <c r="X3" s="7"/>
      <c r="Y3" s="7"/>
      <c r="Z3" s="7"/>
      <c r="AA3" s="7"/>
      <c r="AB3" s="150">
        <f>P3</f>
        <v>60</v>
      </c>
      <c r="AC3" s="150">
        <f>IF(AB4=1,AC$2,"")</f>
        <v>7862714.0960000008</v>
      </c>
      <c r="AD3" s="150" t="s">
        <v>2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1:45" s="132" customFormat="1" ht="25.2" customHeight="1" thickBot="1">
      <c r="A4" s="129" t="str">
        <f>"ACTIVE FILTERS     YEAR = "&amp;A3&amp;"   |   QUARTER = "&amp;C3&amp;"   |   MONTH = "&amp;E3&amp;"   |   REGION = "&amp;G3&amp;"   |   CATEGORY = "&amp;I3&amp;"   |   SALESPERSON = "&amp;K3&amp;"   |   PRODUCT = "&amp;M3&amp;"   |   GROWTH = "&amp;P3&amp;"%   |   CURRENCY = "&amp;Q3&amp;"   |   TARGET = "&amp;S3</f>
        <v>ACTIVE FILTERS     YEAR = 2024   |   QUARTER = All   |   MONTH = All   |   REGION = All   |   CATEGORY = All   |   SALESPERSON = All   |   PRODUCT = All   |   GROWTH = 60%   |   CURRENCY = EGP   |   TARGET = ON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53"/>
      <c r="W4" s="131"/>
      <c r="X4" s="131"/>
      <c r="Y4" s="131"/>
      <c r="Z4" s="131"/>
      <c r="AA4" s="131"/>
      <c r="AB4" s="151">
        <f>IF(S3="ON",1,0)</f>
        <v>1</v>
      </c>
      <c r="AC4" s="151">
        <f>IF(AB4=1,AC$2,"")</f>
        <v>7862714.0960000008</v>
      </c>
      <c r="AD4" s="151" t="s">
        <v>13</v>
      </c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</row>
    <row r="5" spans="1:45" s="138" customFormat="1" ht="19.2" customHeight="1">
      <c r="A5" s="134" t="str">
        <f>IF(Q3="USD","TOTAL REVENUE  (USD)","TOTAL REVENUE  (EGP)")</f>
        <v>TOTAL REVENUE  (EGP)</v>
      </c>
      <c r="B5" s="135"/>
      <c r="C5" s="134" t="str">
        <f>"TOTAL ORDERS"</f>
        <v>TOTAL ORDERS</v>
      </c>
      <c r="D5" s="135"/>
      <c r="E5" s="134" t="str">
        <f>"TOTAL UNITS"</f>
        <v>TOTAL UNITS</v>
      </c>
      <c r="F5" s="135"/>
      <c r="G5" s="134" t="str">
        <f>IF(Q3="USD","AVG ORDER VALUE  (USD)","AVG ORDER VALUE  (EGP)")</f>
        <v>AVG ORDER VALUE  (EGP)</v>
      </c>
      <c r="H5" s="135"/>
      <c r="I5" s="134" t="str">
        <f>IF(Q3="USD","TOTAL PROFIT  (USD)","TOTAL PROFIT  (EGP)")</f>
        <v>TOTAL PROFIT  (EGP)</v>
      </c>
      <c r="J5" s="135"/>
      <c r="K5" s="134" t="str">
        <f>"PROFIT MARGIN"</f>
        <v>PROFIT MARGIN</v>
      </c>
      <c r="L5" s="166"/>
      <c r="M5" s="193" t="str">
        <f ca="1">TEXT(NOW(),"HH:MM:SS")&amp;"   UPDATED"</f>
        <v>04:47:34   UPDATED</v>
      </c>
      <c r="N5" s="194"/>
      <c r="O5" s="194"/>
      <c r="P5" s="195"/>
      <c r="Q5" s="204" t="s">
        <v>167</v>
      </c>
      <c r="R5" s="204"/>
      <c r="S5" s="204"/>
      <c r="T5" s="205"/>
      <c r="U5" s="136"/>
      <c r="V5" s="137"/>
      <c r="W5" s="137"/>
      <c r="X5" s="137"/>
      <c r="Y5" s="137"/>
      <c r="Z5" s="137"/>
      <c r="AA5" s="137"/>
      <c r="AB5" s="152"/>
      <c r="AC5" s="152">
        <f>IF(AB4=1,AC$2,"")</f>
        <v>7862714.0960000008</v>
      </c>
      <c r="AD5" s="152" t="s">
        <v>17</v>
      </c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</row>
    <row r="6" spans="1:45" ht="24.6" customHeight="1">
      <c r="A6" s="102">
        <f>SUM(Calc!$B$42:$B$53)*$AB$2</f>
        <v>4914196.3100000005</v>
      </c>
      <c r="B6" s="103"/>
      <c r="C6" s="102">
        <f>SUM(Calc!$C$42:$C$53)</f>
        <v>180</v>
      </c>
      <c r="D6" s="103"/>
      <c r="E6" s="102">
        <f>SUM(Calc!$D$42:$D$53)</f>
        <v>3831</v>
      </c>
      <c r="F6" s="103"/>
      <c r="G6" s="102">
        <f>IFERROR(SUM(Calc!$B$42:$B$53)/SUM(Calc!$C$42:$C$53),0)*$AB$2</f>
        <v>27301.090611111114</v>
      </c>
      <c r="H6" s="103"/>
      <c r="I6" s="102">
        <f>SUM(Calc!$F$42:$F$53)*$AB$2</f>
        <v>1867394.6199999999</v>
      </c>
      <c r="J6" s="103"/>
      <c r="K6" s="104">
        <f>IFERROR(SUM(Calc!$F$42:$F$53)/SUM(Calc!$B$42:$B$53),0)</f>
        <v>0.38000000451752397</v>
      </c>
      <c r="L6" s="167"/>
      <c r="M6" s="196"/>
      <c r="N6" s="113"/>
      <c r="O6" s="113"/>
      <c r="P6" s="197"/>
      <c r="Q6" s="206"/>
      <c r="R6" s="206"/>
      <c r="S6" s="206"/>
      <c r="T6" s="207"/>
      <c r="U6" s="117"/>
      <c r="V6" s="7"/>
      <c r="W6" s="7"/>
      <c r="X6" s="7"/>
      <c r="Y6" s="7"/>
      <c r="Z6" s="7"/>
      <c r="AA6" s="7"/>
      <c r="AB6" s="150"/>
      <c r="AC6" s="150">
        <f>IF(AB4=1,AC$2,"")</f>
        <v>7862714.0960000008</v>
      </c>
      <c r="AD6" s="150" t="s">
        <v>18</v>
      </c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 ht="18" customHeight="1">
      <c r="A7" s="122" t="str">
        <f>IF(Q3="USD","TOTAL COST  (USD)","TOTAL COST  (EGP)")</f>
        <v>TOTAL COST  (EGP)</v>
      </c>
      <c r="B7" s="123"/>
      <c r="C7" s="122" t="s">
        <v>24</v>
      </c>
      <c r="D7" s="123"/>
      <c r="E7" s="122" t="s">
        <v>25</v>
      </c>
      <c r="F7" s="123"/>
      <c r="G7" s="122" t="s">
        <v>26</v>
      </c>
      <c r="H7" s="123"/>
      <c r="I7" s="122" t="s">
        <v>27</v>
      </c>
      <c r="J7" s="123"/>
      <c r="K7" s="122" t="s">
        <v>28</v>
      </c>
      <c r="L7" s="168"/>
      <c r="M7" s="196"/>
      <c r="N7" s="113"/>
      <c r="O7" s="113"/>
      <c r="P7" s="197"/>
      <c r="Q7" s="206"/>
      <c r="R7" s="206"/>
      <c r="S7" s="206"/>
      <c r="T7" s="207"/>
      <c r="U7" s="7"/>
      <c r="V7" s="7"/>
      <c r="W7" s="7"/>
      <c r="X7" s="7"/>
      <c r="Y7" s="7"/>
      <c r="Z7" s="7"/>
      <c r="AA7" s="7"/>
      <c r="AB7" s="150"/>
      <c r="AC7" s="150">
        <f>IF(AB4=1,AC$2,"")</f>
        <v>7862714.0960000008</v>
      </c>
      <c r="AD7" s="150" t="s">
        <v>19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1:45" ht="21" customHeight="1">
      <c r="A8" s="118">
        <f>SUM(Calc!$E$42:$E$53)*$AB$2</f>
        <v>3046801.69</v>
      </c>
      <c r="B8" s="119"/>
      <c r="C8" s="120" t="str">
        <f>INDEX(Dashboard!$AD$2:$AD$13,MATCH(MAX(Calc!$I$42:$I$53),Calc!$I$42:$I$53,0))</f>
        <v>Dec</v>
      </c>
      <c r="D8" s="119"/>
      <c r="E8" s="118">
        <f>IFERROR(SUM(Calc!$F$42:$F$53)/SUM(Calc!$C$42:$C$53),0)*$AB$2</f>
        <v>10374.414555555555</v>
      </c>
      <c r="F8" s="119"/>
      <c r="G8" s="121">
        <f>Calc!$F$166</f>
        <v>0.48732720874196039</v>
      </c>
      <c r="H8" s="119"/>
      <c r="I8" s="121">
        <f>IFERROR(SUM(Calc!$E$42:$E$53)/SUM(Calc!$B$42:$B$53),0)</f>
        <v>0.61999999548247586</v>
      </c>
      <c r="J8" s="119"/>
      <c r="K8" s="118">
        <f>MAX(Calc!$I$42:$I$53)</f>
        <v>931831.9500000003</v>
      </c>
      <c r="L8" s="169"/>
      <c r="M8" s="196"/>
      <c r="N8" s="113"/>
      <c r="O8" s="113"/>
      <c r="P8" s="197"/>
      <c r="Q8" s="206"/>
      <c r="R8" s="206"/>
      <c r="S8" s="206"/>
      <c r="T8" s="207"/>
      <c r="U8" s="7"/>
      <c r="V8" s="124" t="s">
        <v>166</v>
      </c>
      <c r="W8" s="7"/>
      <c r="X8" s="7"/>
      <c r="Y8" s="7"/>
      <c r="Z8" s="7"/>
      <c r="AA8" s="7"/>
      <c r="AB8" s="150"/>
      <c r="AC8" s="150">
        <f>IF(AB4=1,AC$2,"")</f>
        <v>7862714.0960000008</v>
      </c>
      <c r="AD8" s="150" t="s">
        <v>21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1:45" s="128" customFormat="1" ht="0.6" customHeight="1" thickBot="1">
      <c r="J9" s="133"/>
      <c r="K9" s="133"/>
      <c r="L9" s="183"/>
      <c r="M9" s="198"/>
      <c r="N9" s="199"/>
      <c r="O9" s="113"/>
      <c r="P9" s="197"/>
      <c r="Q9" s="206"/>
      <c r="R9" s="208"/>
      <c r="S9" s="208"/>
      <c r="T9" s="209"/>
      <c r="U9" s="127"/>
      <c r="V9" s="127"/>
      <c r="W9" s="127"/>
      <c r="X9" s="127"/>
      <c r="Y9" s="127"/>
      <c r="Z9" s="127"/>
      <c r="AA9" s="127"/>
      <c r="AB9" s="184"/>
      <c r="AC9" s="184">
        <f>IF(AB4=1,AC$2,"")</f>
        <v>7862714.0960000008</v>
      </c>
      <c r="AD9" s="184" t="s">
        <v>22</v>
      </c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</row>
    <row r="10" spans="1:45" s="179" customFormat="1" ht="18" customHeight="1">
      <c r="A10" s="180" t="s">
        <v>32</v>
      </c>
      <c r="B10" s="181"/>
      <c r="C10" s="182"/>
      <c r="D10" s="180" t="s">
        <v>33</v>
      </c>
      <c r="E10" s="181"/>
      <c r="F10" s="182"/>
      <c r="G10" s="180" t="s">
        <v>34</v>
      </c>
      <c r="H10" s="181"/>
      <c r="I10" s="182"/>
      <c r="J10" s="176"/>
      <c r="K10" s="176"/>
      <c r="L10" s="176"/>
      <c r="M10" s="192"/>
      <c r="N10" s="192"/>
      <c r="O10" s="200"/>
      <c r="P10" s="201" t="s">
        <v>169</v>
      </c>
      <c r="Q10" s="190"/>
      <c r="R10" s="176"/>
      <c r="S10" s="176"/>
      <c r="T10" s="176"/>
      <c r="U10" s="177"/>
      <c r="V10" s="177"/>
      <c r="W10" s="177"/>
      <c r="X10" s="177"/>
      <c r="Y10" s="177"/>
      <c r="Z10" s="177"/>
      <c r="AA10" s="177"/>
      <c r="AB10" s="178"/>
      <c r="AC10" s="178">
        <f>IF(AB4=1,AC$2,"")</f>
        <v>7862714.0960000008</v>
      </c>
      <c r="AD10" s="178" t="s">
        <v>23</v>
      </c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</row>
    <row r="11" spans="1:45" ht="34.799999999999997" customHeight="1" thickBot="1">
      <c r="A11" s="172" t="str">
        <f>INDEX(Calc!$A$75:$A$79,MATCH(MAX(Calc!$B$75:$B$79),Calc!$B$75:$B$79,0))</f>
        <v>Electronics</v>
      </c>
      <c r="B11" s="173"/>
      <c r="C11" s="174"/>
      <c r="D11" s="172" t="str">
        <f>INDEX(Calc!$A$84:$A$89,MATCH(MAX(Calc!$B$84:$B$89),Calc!$B$84:$B$89,0))</f>
        <v>Mona Adel</v>
      </c>
      <c r="E11" s="173"/>
      <c r="F11" s="174"/>
      <c r="G11" s="175">
        <f>(SUM(Calc!$B$42:$B$53))*(1+$P$3/100)*$AB$2</f>
        <v>7862714.0960000008</v>
      </c>
      <c r="H11" s="173"/>
      <c r="I11" s="174"/>
      <c r="J11" s="117"/>
      <c r="K11" s="117"/>
      <c r="L11" s="117"/>
      <c r="M11" s="117"/>
      <c r="N11" s="117"/>
      <c r="O11" s="202"/>
      <c r="P11" s="203"/>
      <c r="Q11" s="191"/>
      <c r="R11" s="117"/>
      <c r="S11" s="117"/>
      <c r="T11" s="117"/>
      <c r="U11" s="7"/>
      <c r="V11" s="7"/>
      <c r="W11" s="7"/>
      <c r="X11" s="7"/>
      <c r="Y11" s="7"/>
      <c r="Z11" s="7"/>
      <c r="AA11" s="7"/>
      <c r="AB11" s="150"/>
      <c r="AC11" s="150">
        <f>IF(AB4=1,AC$2,"")</f>
        <v>7862714.0960000008</v>
      </c>
      <c r="AD11" s="150" t="s">
        <v>29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:45" ht="48" customHeight="1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7"/>
      <c r="V12" s="7"/>
      <c r="W12" s="7"/>
      <c r="X12" s="7"/>
      <c r="Y12" s="7"/>
      <c r="Z12" s="7"/>
      <c r="AA12" s="7"/>
      <c r="AB12" s="150"/>
      <c r="AC12" s="150">
        <f>IF(AB4=1,AC$2,"")</f>
        <v>7862714.0960000008</v>
      </c>
      <c r="AD12" s="150" t="s">
        <v>30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:45" ht="48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50"/>
      <c r="AC13" s="150">
        <f>IF(AB4=1,AC$2,"")</f>
        <v>7862714.0960000008</v>
      </c>
      <c r="AD13" s="150" t="s">
        <v>31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ht="30" customHeight="1">
      <c r="A14" s="117"/>
      <c r="B14" s="117"/>
      <c r="C14" s="117"/>
      <c r="D14" s="117"/>
      <c r="E14" s="117"/>
      <c r="F14" s="117"/>
      <c r="G14" s="117"/>
      <c r="H14" s="117"/>
      <c r="I14" s="11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50"/>
      <c r="AC14" s="150">
        <f>IF(AB4=1,AC$2,"")</f>
        <v>7862714.0960000008</v>
      </c>
      <c r="AD14" s="150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ht="31.95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150"/>
      <c r="AC15" s="150"/>
      <c r="AD15" s="150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 ht="10.050000000000001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50"/>
      <c r="AC16" s="150"/>
      <c r="AD16" s="150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1:45" ht="3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50"/>
      <c r="AC17" s="150"/>
      <c r="AD17" s="150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1:45" ht="3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1:45" ht="3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1:45" ht="3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:45" ht="3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:45" ht="3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:45" ht="3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ht="3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1:45" ht="3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1:45" ht="3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1:45" ht="3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1:45" ht="3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1:45" ht="3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1:45" ht="3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1: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1:45" ht="3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1:45" ht="3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1:45" ht="30" customHeight="1">
      <c r="A34" s="7"/>
      <c r="B34" s="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1:45" ht="30" customHeight="1">
      <c r="A35" s="7"/>
      <c r="B35" s="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1:45" ht="30" customHeight="1">
      <c r="A36" s="7"/>
      <c r="B36" s="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1:45" ht="30" customHeight="1">
      <c r="A37" s="7"/>
      <c r="B37" s="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1:45" ht="30" customHeight="1">
      <c r="A38" s="7"/>
      <c r="B38" s="117"/>
      <c r="C38" s="117"/>
      <c r="D38" s="11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7"/>
      <c r="R38" s="117"/>
      <c r="S38" s="117"/>
      <c r="T38" s="117"/>
      <c r="U38" s="117"/>
      <c r="V38" s="11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1:45" ht="30" customHeight="1">
      <c r="A39" s="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1:45" ht="3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1:45" ht="30" customHeight="1">
      <c r="A41" s="7"/>
      <c r="B41" s="7"/>
      <c r="C41" s="7"/>
      <c r="D41" s="7"/>
      <c r="E41" s="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1:45" ht="30" customHeight="1">
      <c r="A42" s="7"/>
      <c r="B42" s="7"/>
      <c r="C42" s="7"/>
      <c r="D42" s="7"/>
      <c r="E42" s="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1:45" ht="3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1:45" ht="3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1:45" ht="30" customHeight="1">
      <c r="A45" s="7"/>
      <c r="B45" s="7"/>
      <c r="C45" s="7"/>
      <c r="D45" s="7"/>
      <c r="E45" s="7"/>
      <c r="F45" s="7"/>
      <c r="G45" s="125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1: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1:45" ht="3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139"/>
      <c r="N47" s="140"/>
      <c r="O47" s="140"/>
      <c r="P47" s="140"/>
      <c r="Q47" s="140"/>
      <c r="R47" s="141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1:45" ht="3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42"/>
      <c r="N48" s="143"/>
      <c r="O48" s="143"/>
      <c r="P48" s="143"/>
      <c r="Q48" s="143"/>
      <c r="R48" s="144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1:45" ht="3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42"/>
      <c r="N49" s="143"/>
      <c r="O49" s="143"/>
      <c r="P49" s="143"/>
      <c r="Q49" s="143"/>
      <c r="R49" s="144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1:45" ht="3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142"/>
      <c r="N50" s="143"/>
      <c r="O50" s="143"/>
      <c r="P50" s="143"/>
      <c r="Q50" s="143"/>
      <c r="R50" s="144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1:45" ht="3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142"/>
      <c r="N51" s="143"/>
      <c r="O51" s="143"/>
      <c r="P51" s="143"/>
      <c r="Q51" s="143"/>
      <c r="R51" s="144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1:45" ht="3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145"/>
      <c r="N52" s="146"/>
      <c r="O52" s="146"/>
      <c r="P52" s="146"/>
      <c r="Q52" s="146"/>
      <c r="R52" s="14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1:45" ht="3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1:45" ht="3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5" ht="3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1:45" ht="3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5" ht="3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5" ht="3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5" ht="3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5" ht="3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5" ht="18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>
      <c r="A67" s="148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1: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1: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1: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1: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1: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1: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1: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1: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1: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1: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1: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1: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1: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1: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1: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1: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1: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1: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1: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1: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1: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1: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1: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1: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1: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1: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1: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1: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1: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1: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1: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1: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1: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1: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1: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1: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1: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1: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1: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1: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1: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1: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1: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1: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1: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1: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1: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1: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1: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1: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1: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1: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1: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1: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1: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1: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1: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1: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1: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1: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1: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1: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1: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1: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1: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1: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1: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1: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1: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1: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1: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1: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1: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1: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1: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1: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1: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1: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1: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1: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1: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1: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1: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1: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1: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1: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1: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1: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</sheetData>
  <mergeCells count="55">
    <mergeCell ref="A1:U1"/>
    <mergeCell ref="S2:T2"/>
    <mergeCell ref="A4:U4"/>
    <mergeCell ref="M5:P9"/>
    <mergeCell ref="P10:Q11"/>
    <mergeCell ref="A67:U67"/>
    <mergeCell ref="I3:J3"/>
    <mergeCell ref="I5:J5"/>
    <mergeCell ref="A11:C11"/>
    <mergeCell ref="A5:B5"/>
    <mergeCell ref="C5:D5"/>
    <mergeCell ref="S3:T3"/>
    <mergeCell ref="M3:O3"/>
    <mergeCell ref="I6:J6"/>
    <mergeCell ref="Q3:R3"/>
    <mergeCell ref="A10:C10"/>
    <mergeCell ref="C6:D6"/>
    <mergeCell ref="E6:F6"/>
    <mergeCell ref="Q2:R2"/>
    <mergeCell ref="A8:B8"/>
    <mergeCell ref="C8:D8"/>
    <mergeCell ref="I8:J8"/>
    <mergeCell ref="D10:F10"/>
    <mergeCell ref="K8:L8"/>
    <mergeCell ref="K5:L5"/>
    <mergeCell ref="C7:D7"/>
    <mergeCell ref="M2:O2"/>
    <mergeCell ref="E7:F7"/>
    <mergeCell ref="G11:I11"/>
    <mergeCell ref="G45:AA45"/>
    <mergeCell ref="C2:D2"/>
    <mergeCell ref="E2:F2"/>
    <mergeCell ref="K7:L7"/>
    <mergeCell ref="G6:H6"/>
    <mergeCell ref="G10:I10"/>
    <mergeCell ref="D11:F11"/>
    <mergeCell ref="A3:B3"/>
    <mergeCell ref="G3:H3"/>
    <mergeCell ref="A2:B2"/>
    <mergeCell ref="G2:H2"/>
    <mergeCell ref="I2:J2"/>
    <mergeCell ref="K2:L2"/>
    <mergeCell ref="K6:L6"/>
    <mergeCell ref="E3:F3"/>
    <mergeCell ref="K3:L3"/>
    <mergeCell ref="I7:J7"/>
    <mergeCell ref="Q5:T9"/>
    <mergeCell ref="G5:H5"/>
    <mergeCell ref="E5:F5"/>
    <mergeCell ref="E8:F8"/>
    <mergeCell ref="G8:H8"/>
    <mergeCell ref="A6:B6"/>
    <mergeCell ref="A7:B7"/>
    <mergeCell ref="C3:D3"/>
    <mergeCell ref="G7:H7"/>
  </mergeCells>
  <conditionalFormatting sqref="N48:R52">
    <cfRule type="colorScale" priority="1">
      <colorScale>
        <cfvo type="min"/>
        <cfvo type="num" val="2200000"/>
        <cfvo type="max"/>
        <color rgb="FF11203A"/>
        <color rgb="FF1E88E5"/>
        <color rgb="FF2DD4BF"/>
      </colorScale>
    </cfRule>
  </conditionalFormatting>
  <dataValidations count="10">
    <dataValidation type="list" errorTitle="Invalid selection" error="Please pick a value from the dropdown list." promptTitle="DVYear" prompt="Pick a value for DVYear." sqref="A3:B3" xr:uid="{00000000-0002-0000-0000-000000000000}">
      <formula1>DVYear</formula1>
    </dataValidation>
    <dataValidation type="list" errorTitle="Invalid selection" error="Please pick a value from the dropdown list." promptTitle="DVQuarter" prompt="Pick a value for DVQuarter." sqref="C3:D3" xr:uid="{00000000-0002-0000-0000-000001000000}">
      <formula1>DVQuarter</formula1>
    </dataValidation>
    <dataValidation type="list" errorTitle="Invalid selection" error="Please pick a value from the dropdown list." promptTitle="DVMonth" prompt="Pick a value for DVMonth." sqref="E3:F3" xr:uid="{00000000-0002-0000-0000-000002000000}">
      <formula1>DVMonth</formula1>
    </dataValidation>
    <dataValidation type="list" errorTitle="Invalid selection" error="Please pick a value from the dropdown list." promptTitle="DVRegion" prompt="Pick a value for DVRegion." sqref="G3:H3" xr:uid="{00000000-0002-0000-0000-000003000000}">
      <formula1>DVRegion</formula1>
    </dataValidation>
    <dataValidation type="list" errorTitle="Invalid selection" error="Please pick a value from the dropdown list." promptTitle="DVCategory" prompt="Pick a value for DVCategory." sqref="I3:J3" xr:uid="{00000000-0002-0000-0000-000004000000}">
      <formula1>DVCategory</formula1>
    </dataValidation>
    <dataValidation type="list" errorTitle="Invalid selection" error="Please pick a value from the dropdown list." promptTitle="DVSales" prompt="Pick a value for DVSales." sqref="K3:L3" xr:uid="{00000000-0002-0000-0000-000005000000}">
      <formula1>DVSales</formula1>
    </dataValidation>
    <dataValidation type="list" errorTitle="Invalid selection" error="Please pick a value from the dropdown list." promptTitle="DVProduct" prompt="Pick a value for DVProduct." sqref="M3:O3" xr:uid="{00000000-0002-0000-0000-000006000000}">
      <formula1>DVProduct</formula1>
    </dataValidation>
    <dataValidation type="list" errorTitle="Invalid selection" error="Please pick a value from the dropdown list." promptTitle="DVGrowth" prompt="Pick a value for DVGrowth." sqref="P3" xr:uid="{00000000-0002-0000-0000-000007000000}">
      <formula1>DVGrowth</formula1>
    </dataValidation>
    <dataValidation type="list" errorTitle="Invalid selection" error="Please pick a value from the dropdown list." promptTitle="DVCur" prompt="Pick a value for DVCur." sqref="Q3:R3" xr:uid="{00000000-0002-0000-0000-000008000000}">
      <formula1>DVCur</formula1>
    </dataValidation>
    <dataValidation type="list" errorTitle="Invalid selection" error="Please pick a value from the dropdown list." promptTitle="DVLine" prompt="Pick a value for DVLine." sqref="S3:T3" xr:uid="{00000000-0002-0000-0000-000009000000}">
      <formula1>DVLine</formula1>
    </dataValidation>
  </dataValidations>
  <hyperlinks>
    <hyperlink ref="Q5" location="'Calc'!A1" display="GO TO CALC  ▸" xr:uid="{00000000-0004-0000-0000-000000000000}"/>
    <hyperlink ref="P10:Q11" location="Data!A1" display="GoTo Data 👨‍🦯" xr:uid="{F161B315-387C-48C6-BA1F-FC518A6D08FC}"/>
  </hyperlink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0AA"/>
  </sheetPr>
  <dimension ref="A1:N721"/>
  <sheetViews>
    <sheetView workbookViewId="0">
      <pane xSplit="1" ySplit="1" topLeftCell="B120" activePane="bottomRight" state="frozen"/>
      <selection pane="topRight"/>
      <selection pane="bottomLeft"/>
      <selection pane="bottomRight"/>
    </sheetView>
  </sheetViews>
  <sheetFormatPr defaultColWidth="8.88671875" defaultRowHeight="14.4"/>
  <cols>
    <col min="1" max="1" width="11.44140625" style="6" customWidth="1"/>
    <col min="2" max="2" width="5.6640625" style="6" customWidth="1"/>
    <col min="3" max="3" width="8.109375" style="6" customWidth="1"/>
    <col min="4" max="4" width="11.77734375" style="6" customWidth="1"/>
    <col min="5" max="5" width="7.44140625" style="6" customWidth="1"/>
    <col min="6" max="6" width="7.5546875" style="6" customWidth="1"/>
    <col min="7" max="7" width="10.6640625" style="6" customWidth="1"/>
    <col min="8" max="8" width="14" style="6" customWidth="1"/>
    <col min="9" max="9" width="14.44140625" style="6" customWidth="1"/>
    <col min="10" max="10" width="6.21875" style="6" customWidth="1"/>
    <col min="11" max="11" width="9.77734375" style="6" customWidth="1"/>
    <col min="12" max="14" width="10.77734375" style="6" customWidth="1"/>
  </cols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>
      <c r="A2" s="2">
        <v>44568.416666666657</v>
      </c>
      <c r="B2" s="3">
        <v>2022</v>
      </c>
      <c r="C2" s="4" t="s">
        <v>59</v>
      </c>
      <c r="D2" s="4">
        <v>1</v>
      </c>
      <c r="E2" s="4" t="s">
        <v>1</v>
      </c>
      <c r="F2" s="4" t="s">
        <v>42</v>
      </c>
      <c r="G2" s="4" t="s">
        <v>39</v>
      </c>
      <c r="H2" s="4" t="s">
        <v>60</v>
      </c>
      <c r="I2" s="4" t="s">
        <v>61</v>
      </c>
      <c r="J2" s="5">
        <v>29</v>
      </c>
      <c r="K2" s="5">
        <v>2127.12</v>
      </c>
      <c r="L2" s="5">
        <v>61686.48</v>
      </c>
      <c r="M2" s="5">
        <v>38245.620000000003</v>
      </c>
      <c r="N2" s="5">
        <v>23440.86</v>
      </c>
    </row>
    <row r="3" spans="1:14">
      <c r="A3" s="2">
        <v>44938.416666666657</v>
      </c>
      <c r="B3" s="3">
        <v>2023</v>
      </c>
      <c r="C3" s="4" t="s">
        <v>59</v>
      </c>
      <c r="D3" s="4">
        <v>1</v>
      </c>
      <c r="E3" s="4" t="s">
        <v>1</v>
      </c>
      <c r="F3" s="4" t="s">
        <v>40</v>
      </c>
      <c r="G3" s="4" t="s">
        <v>37</v>
      </c>
      <c r="H3" s="4" t="s">
        <v>62</v>
      </c>
      <c r="I3" s="4" t="s">
        <v>63</v>
      </c>
      <c r="J3" s="5">
        <v>20</v>
      </c>
      <c r="K3" s="5">
        <v>417.14</v>
      </c>
      <c r="L3" s="5">
        <v>8342.7999999999993</v>
      </c>
      <c r="M3" s="5">
        <v>5172.54</v>
      </c>
      <c r="N3" s="5">
        <v>3170.26</v>
      </c>
    </row>
    <row r="4" spans="1:14">
      <c r="A4" s="2">
        <v>45318.416666666657</v>
      </c>
      <c r="B4" s="3">
        <v>2024</v>
      </c>
      <c r="C4" s="4" t="s">
        <v>59</v>
      </c>
      <c r="D4" s="4">
        <v>1</v>
      </c>
      <c r="E4" s="4" t="s">
        <v>1</v>
      </c>
      <c r="F4" s="4" t="s">
        <v>43</v>
      </c>
      <c r="G4" s="4" t="s">
        <v>35</v>
      </c>
      <c r="H4" s="4" t="s">
        <v>64</v>
      </c>
      <c r="I4" s="4" t="s">
        <v>65</v>
      </c>
      <c r="J4" s="5">
        <v>52</v>
      </c>
      <c r="K4" s="5">
        <v>131.34</v>
      </c>
      <c r="L4" s="5">
        <v>6829.68</v>
      </c>
      <c r="M4" s="5">
        <v>4234.3999999999996</v>
      </c>
      <c r="N4" s="5">
        <v>2595.2800000000002</v>
      </c>
    </row>
    <row r="5" spans="1:14">
      <c r="A5" s="2">
        <v>45659.416666666657</v>
      </c>
      <c r="B5" s="3">
        <v>2025</v>
      </c>
      <c r="C5" s="4" t="s">
        <v>59</v>
      </c>
      <c r="D5" s="4">
        <v>1</v>
      </c>
      <c r="E5" s="4" t="s">
        <v>1</v>
      </c>
      <c r="F5" s="4" t="s">
        <v>44</v>
      </c>
      <c r="G5" s="4" t="s">
        <v>37</v>
      </c>
      <c r="H5" s="4" t="s">
        <v>66</v>
      </c>
      <c r="I5" s="4" t="s">
        <v>65</v>
      </c>
      <c r="J5" s="5">
        <v>10</v>
      </c>
      <c r="K5" s="5">
        <v>181.21</v>
      </c>
      <c r="L5" s="5">
        <v>1812.1</v>
      </c>
      <c r="M5" s="5">
        <v>1123.5</v>
      </c>
      <c r="N5" s="5">
        <v>688.6</v>
      </c>
    </row>
    <row r="6" spans="1:14">
      <c r="A6" s="2">
        <v>44595.416666666657</v>
      </c>
      <c r="B6" s="3">
        <v>2022</v>
      </c>
      <c r="C6" s="4" t="s">
        <v>59</v>
      </c>
      <c r="D6" s="4">
        <v>2</v>
      </c>
      <c r="E6" s="4" t="s">
        <v>2</v>
      </c>
      <c r="F6" s="4" t="s">
        <v>44</v>
      </c>
      <c r="G6" s="4" t="s">
        <v>36</v>
      </c>
      <c r="H6" s="4" t="s">
        <v>67</v>
      </c>
      <c r="I6" s="4" t="s">
        <v>68</v>
      </c>
      <c r="J6" s="5">
        <v>5</v>
      </c>
      <c r="K6" s="5">
        <v>1320.3</v>
      </c>
      <c r="L6" s="5">
        <v>6601.5</v>
      </c>
      <c r="M6" s="5">
        <v>4092.93</v>
      </c>
      <c r="N6" s="5">
        <v>2508.5700000000002</v>
      </c>
    </row>
    <row r="7" spans="1:14">
      <c r="A7" s="2">
        <v>44985.416666666657</v>
      </c>
      <c r="B7" s="3">
        <v>2023</v>
      </c>
      <c r="C7" s="4" t="s">
        <v>59</v>
      </c>
      <c r="D7" s="4">
        <v>2</v>
      </c>
      <c r="E7" s="4" t="s">
        <v>2</v>
      </c>
      <c r="F7" s="4" t="s">
        <v>40</v>
      </c>
      <c r="G7" s="4" t="s">
        <v>35</v>
      </c>
      <c r="H7" s="4" t="s">
        <v>69</v>
      </c>
      <c r="I7" s="4" t="s">
        <v>65</v>
      </c>
      <c r="J7" s="5">
        <v>1</v>
      </c>
      <c r="K7" s="5">
        <v>74.41</v>
      </c>
      <c r="L7" s="5">
        <v>74.41</v>
      </c>
      <c r="M7" s="5">
        <v>46.13</v>
      </c>
      <c r="N7" s="5">
        <v>28.28</v>
      </c>
    </row>
    <row r="8" spans="1:14">
      <c r="A8" s="2">
        <v>45330.416666666657</v>
      </c>
      <c r="B8" s="3">
        <v>2024</v>
      </c>
      <c r="C8" s="4" t="s">
        <v>59</v>
      </c>
      <c r="D8" s="4">
        <v>2</v>
      </c>
      <c r="E8" s="4" t="s">
        <v>2</v>
      </c>
      <c r="F8" s="4" t="s">
        <v>40</v>
      </c>
      <c r="G8" s="4" t="s">
        <v>35</v>
      </c>
      <c r="H8" s="4" t="s">
        <v>70</v>
      </c>
      <c r="I8" s="4" t="s">
        <v>71</v>
      </c>
      <c r="J8" s="5">
        <v>14</v>
      </c>
      <c r="K8" s="5">
        <v>106.46</v>
      </c>
      <c r="L8" s="5">
        <v>1490.44</v>
      </c>
      <c r="M8" s="5">
        <v>924.07</v>
      </c>
      <c r="N8" s="5">
        <v>566.37</v>
      </c>
    </row>
    <row r="9" spans="1:14">
      <c r="A9" s="2">
        <v>45696.416666666657</v>
      </c>
      <c r="B9" s="3">
        <v>2025</v>
      </c>
      <c r="C9" s="4" t="s">
        <v>59</v>
      </c>
      <c r="D9" s="4">
        <v>2</v>
      </c>
      <c r="E9" s="4" t="s">
        <v>2</v>
      </c>
      <c r="F9" s="4" t="s">
        <v>44</v>
      </c>
      <c r="G9" s="4" t="s">
        <v>38</v>
      </c>
      <c r="H9" s="4" t="s">
        <v>72</v>
      </c>
      <c r="I9" s="4" t="s">
        <v>68</v>
      </c>
      <c r="J9" s="5">
        <v>17</v>
      </c>
      <c r="K9" s="5">
        <v>333.49</v>
      </c>
      <c r="L9" s="5">
        <v>5669.33</v>
      </c>
      <c r="M9" s="5">
        <v>3514.98</v>
      </c>
      <c r="N9" s="5">
        <v>2154.35</v>
      </c>
    </row>
    <row r="10" spans="1:14">
      <c r="A10" s="2">
        <v>44634.416666666657</v>
      </c>
      <c r="B10" s="3">
        <v>2022</v>
      </c>
      <c r="C10" s="4" t="s">
        <v>59</v>
      </c>
      <c r="D10" s="4">
        <v>3</v>
      </c>
      <c r="E10" s="4" t="s">
        <v>13</v>
      </c>
      <c r="F10" s="4" t="s">
        <v>42</v>
      </c>
      <c r="G10" s="4" t="s">
        <v>36</v>
      </c>
      <c r="H10" s="4" t="s">
        <v>73</v>
      </c>
      <c r="I10" s="4" t="s">
        <v>65</v>
      </c>
      <c r="J10" s="5">
        <v>9</v>
      </c>
      <c r="K10" s="5">
        <v>1612.3</v>
      </c>
      <c r="L10" s="5">
        <v>14510.7</v>
      </c>
      <c r="M10" s="5">
        <v>8996.6299999999992</v>
      </c>
      <c r="N10" s="5">
        <v>5514.07</v>
      </c>
    </row>
    <row r="11" spans="1:14">
      <c r="A11" s="2">
        <v>45002.416666666657</v>
      </c>
      <c r="B11" s="3">
        <v>2023</v>
      </c>
      <c r="C11" s="4" t="s">
        <v>59</v>
      </c>
      <c r="D11" s="4">
        <v>3</v>
      </c>
      <c r="E11" s="4" t="s">
        <v>13</v>
      </c>
      <c r="F11" s="4" t="s">
        <v>42</v>
      </c>
      <c r="G11" s="4" t="s">
        <v>38</v>
      </c>
      <c r="H11" s="4" t="s">
        <v>74</v>
      </c>
      <c r="I11" s="4" t="s">
        <v>71</v>
      </c>
      <c r="J11" s="5">
        <v>22</v>
      </c>
      <c r="K11" s="5">
        <v>384.75</v>
      </c>
      <c r="L11" s="5">
        <v>8464.5</v>
      </c>
      <c r="M11" s="5">
        <v>5247.99</v>
      </c>
      <c r="N11" s="5">
        <v>3216.51</v>
      </c>
    </row>
    <row r="12" spans="1:14">
      <c r="A12" s="2">
        <v>45360.416666666657</v>
      </c>
      <c r="B12" s="3">
        <v>2024</v>
      </c>
      <c r="C12" s="4" t="s">
        <v>59</v>
      </c>
      <c r="D12" s="4">
        <v>3</v>
      </c>
      <c r="E12" s="4" t="s">
        <v>13</v>
      </c>
      <c r="F12" s="4" t="s">
        <v>42</v>
      </c>
      <c r="G12" s="4" t="s">
        <v>35</v>
      </c>
      <c r="H12" s="4" t="s">
        <v>70</v>
      </c>
      <c r="I12" s="4" t="s">
        <v>71</v>
      </c>
      <c r="J12" s="5">
        <v>9</v>
      </c>
      <c r="K12" s="5">
        <v>79.3</v>
      </c>
      <c r="L12" s="5">
        <v>713.7</v>
      </c>
      <c r="M12" s="5">
        <v>442.49</v>
      </c>
      <c r="N12" s="5">
        <v>271.20999999999998</v>
      </c>
    </row>
    <row r="13" spans="1:14">
      <c r="A13" s="2">
        <v>45736.416666666657</v>
      </c>
      <c r="B13" s="3">
        <v>2025</v>
      </c>
      <c r="C13" s="4" t="s">
        <v>59</v>
      </c>
      <c r="D13" s="4">
        <v>3</v>
      </c>
      <c r="E13" s="4" t="s">
        <v>13</v>
      </c>
      <c r="F13" s="4" t="s">
        <v>43</v>
      </c>
      <c r="G13" s="4" t="s">
        <v>36</v>
      </c>
      <c r="H13" s="4" t="s">
        <v>75</v>
      </c>
      <c r="I13" s="4" t="s">
        <v>63</v>
      </c>
      <c r="J13" s="5">
        <v>24</v>
      </c>
      <c r="K13" s="5">
        <v>1329.6</v>
      </c>
      <c r="L13" s="5">
        <v>31910.400000000001</v>
      </c>
      <c r="M13" s="5">
        <v>19784.45</v>
      </c>
      <c r="N13" s="5">
        <v>12125.95</v>
      </c>
    </row>
    <row r="14" spans="1:14">
      <c r="A14" s="2">
        <v>44666.416666666657</v>
      </c>
      <c r="B14" s="3">
        <v>2022</v>
      </c>
      <c r="C14" s="4" t="s">
        <v>76</v>
      </c>
      <c r="D14" s="4">
        <v>4</v>
      </c>
      <c r="E14" s="4" t="s">
        <v>17</v>
      </c>
      <c r="F14" s="4" t="s">
        <v>44</v>
      </c>
      <c r="G14" s="4" t="s">
        <v>37</v>
      </c>
      <c r="H14" s="4" t="s">
        <v>66</v>
      </c>
      <c r="I14" s="4" t="s">
        <v>68</v>
      </c>
      <c r="J14" s="5">
        <v>2</v>
      </c>
      <c r="K14" s="5">
        <v>342.16</v>
      </c>
      <c r="L14" s="5">
        <v>684.32</v>
      </c>
      <c r="M14" s="5">
        <v>424.28</v>
      </c>
      <c r="N14" s="5">
        <v>260.04000000000002</v>
      </c>
    </row>
    <row r="15" spans="1:14">
      <c r="A15" s="2">
        <v>45030.416666666657</v>
      </c>
      <c r="B15" s="3">
        <v>2023</v>
      </c>
      <c r="C15" s="4" t="s">
        <v>76</v>
      </c>
      <c r="D15" s="4">
        <v>4</v>
      </c>
      <c r="E15" s="4" t="s">
        <v>17</v>
      </c>
      <c r="F15" s="4" t="s">
        <v>42</v>
      </c>
      <c r="G15" s="4" t="s">
        <v>38</v>
      </c>
      <c r="H15" s="4" t="s">
        <v>77</v>
      </c>
      <c r="I15" s="4" t="s">
        <v>63</v>
      </c>
      <c r="J15" s="5">
        <v>16</v>
      </c>
      <c r="K15" s="5">
        <v>95.81</v>
      </c>
      <c r="L15" s="5">
        <v>1532.96</v>
      </c>
      <c r="M15" s="5">
        <v>950.44</v>
      </c>
      <c r="N15" s="5">
        <v>582.52</v>
      </c>
    </row>
    <row r="16" spans="1:14">
      <c r="A16" s="2">
        <v>45407.416666666657</v>
      </c>
      <c r="B16" s="3">
        <v>2024</v>
      </c>
      <c r="C16" s="4" t="s">
        <v>76</v>
      </c>
      <c r="D16" s="4">
        <v>4</v>
      </c>
      <c r="E16" s="4" t="s">
        <v>17</v>
      </c>
      <c r="F16" s="4" t="s">
        <v>43</v>
      </c>
      <c r="G16" s="4" t="s">
        <v>38</v>
      </c>
      <c r="H16" s="4" t="s">
        <v>77</v>
      </c>
      <c r="I16" s="4" t="s">
        <v>65</v>
      </c>
      <c r="J16" s="5">
        <v>14</v>
      </c>
      <c r="K16" s="5">
        <v>99.29</v>
      </c>
      <c r="L16" s="5">
        <v>1390.06</v>
      </c>
      <c r="M16" s="5">
        <v>861.84</v>
      </c>
      <c r="N16" s="5">
        <v>528.22</v>
      </c>
    </row>
    <row r="17" spans="1:14">
      <c r="A17" s="2">
        <v>45765.416666666657</v>
      </c>
      <c r="B17" s="3">
        <v>2025</v>
      </c>
      <c r="C17" s="4" t="s">
        <v>76</v>
      </c>
      <c r="D17" s="4">
        <v>4</v>
      </c>
      <c r="E17" s="4" t="s">
        <v>17</v>
      </c>
      <c r="F17" s="4" t="s">
        <v>41</v>
      </c>
      <c r="G17" s="4" t="s">
        <v>39</v>
      </c>
      <c r="H17" s="4" t="s">
        <v>78</v>
      </c>
      <c r="I17" s="4" t="s">
        <v>65</v>
      </c>
      <c r="J17" s="5">
        <v>8</v>
      </c>
      <c r="K17" s="5">
        <v>4977.96</v>
      </c>
      <c r="L17" s="5">
        <v>39823.68</v>
      </c>
      <c r="M17" s="5">
        <v>24690.68</v>
      </c>
      <c r="N17" s="5">
        <v>15133</v>
      </c>
    </row>
    <row r="18" spans="1:14">
      <c r="A18" s="2">
        <v>44685.416666666657</v>
      </c>
      <c r="B18" s="3">
        <v>2022</v>
      </c>
      <c r="C18" s="4" t="s">
        <v>76</v>
      </c>
      <c r="D18" s="4">
        <v>5</v>
      </c>
      <c r="E18" s="4" t="s">
        <v>18</v>
      </c>
      <c r="F18" s="4" t="s">
        <v>44</v>
      </c>
      <c r="G18" s="4" t="s">
        <v>38</v>
      </c>
      <c r="H18" s="4" t="s">
        <v>74</v>
      </c>
      <c r="I18" s="4" t="s">
        <v>65</v>
      </c>
      <c r="J18" s="5">
        <v>5</v>
      </c>
      <c r="K18" s="5">
        <v>182.41</v>
      </c>
      <c r="L18" s="5">
        <v>912.05</v>
      </c>
      <c r="M18" s="5">
        <v>565.47</v>
      </c>
      <c r="N18" s="5">
        <v>346.58</v>
      </c>
    </row>
    <row r="19" spans="1:14">
      <c r="A19" s="2">
        <v>45073.416666666657</v>
      </c>
      <c r="B19" s="3">
        <v>2023</v>
      </c>
      <c r="C19" s="4" t="s">
        <v>76</v>
      </c>
      <c r="D19" s="4">
        <v>5</v>
      </c>
      <c r="E19" s="4" t="s">
        <v>18</v>
      </c>
      <c r="F19" s="4" t="s">
        <v>40</v>
      </c>
      <c r="G19" s="4" t="s">
        <v>36</v>
      </c>
      <c r="H19" s="4" t="s">
        <v>73</v>
      </c>
      <c r="I19" s="4" t="s">
        <v>61</v>
      </c>
      <c r="J19" s="5">
        <v>11</v>
      </c>
      <c r="K19" s="5">
        <v>4744.6899999999996</v>
      </c>
      <c r="L19" s="5">
        <v>52191.59</v>
      </c>
      <c r="M19" s="5">
        <v>32358.79</v>
      </c>
      <c r="N19" s="5">
        <v>19832.8</v>
      </c>
    </row>
    <row r="20" spans="1:14">
      <c r="A20" s="2">
        <v>45427.416666666657</v>
      </c>
      <c r="B20" s="3">
        <v>2024</v>
      </c>
      <c r="C20" s="4" t="s">
        <v>76</v>
      </c>
      <c r="D20" s="4">
        <v>5</v>
      </c>
      <c r="E20" s="4" t="s">
        <v>18</v>
      </c>
      <c r="F20" s="4" t="s">
        <v>41</v>
      </c>
      <c r="G20" s="4" t="s">
        <v>38</v>
      </c>
      <c r="H20" s="4" t="s">
        <v>72</v>
      </c>
      <c r="I20" s="4" t="s">
        <v>71</v>
      </c>
      <c r="J20" s="5">
        <v>29</v>
      </c>
      <c r="K20" s="5">
        <v>254.37</v>
      </c>
      <c r="L20" s="5">
        <v>7376.73</v>
      </c>
      <c r="M20" s="5">
        <v>4573.57</v>
      </c>
      <c r="N20" s="5">
        <v>2803.16</v>
      </c>
    </row>
    <row r="21" spans="1:14">
      <c r="A21" s="2">
        <v>45797.416666666657</v>
      </c>
      <c r="B21" s="3">
        <v>2025</v>
      </c>
      <c r="C21" s="4" t="s">
        <v>76</v>
      </c>
      <c r="D21" s="4">
        <v>5</v>
      </c>
      <c r="E21" s="4" t="s">
        <v>18</v>
      </c>
      <c r="F21" s="4" t="s">
        <v>40</v>
      </c>
      <c r="G21" s="4" t="s">
        <v>37</v>
      </c>
      <c r="H21" s="4" t="s">
        <v>62</v>
      </c>
      <c r="I21" s="4" t="s">
        <v>61</v>
      </c>
      <c r="J21" s="5">
        <v>18</v>
      </c>
      <c r="K21" s="5">
        <v>132.94</v>
      </c>
      <c r="L21" s="5">
        <v>2392.92</v>
      </c>
      <c r="M21" s="5">
        <v>1483.61</v>
      </c>
      <c r="N21" s="5">
        <v>909.31</v>
      </c>
    </row>
    <row r="22" spans="1:14">
      <c r="A22" s="2">
        <v>44735.416666666657</v>
      </c>
      <c r="B22" s="3">
        <v>2022</v>
      </c>
      <c r="C22" s="4" t="s">
        <v>76</v>
      </c>
      <c r="D22" s="4">
        <v>6</v>
      </c>
      <c r="E22" s="4" t="s">
        <v>19</v>
      </c>
      <c r="F22" s="4" t="s">
        <v>40</v>
      </c>
      <c r="G22" s="4" t="s">
        <v>37</v>
      </c>
      <c r="H22" s="4" t="s">
        <v>66</v>
      </c>
      <c r="I22" s="4" t="s">
        <v>68</v>
      </c>
      <c r="J22" s="5">
        <v>14</v>
      </c>
      <c r="K22" s="5">
        <v>269.68</v>
      </c>
      <c r="L22" s="5">
        <v>3775.52</v>
      </c>
      <c r="M22" s="5">
        <v>2340.8200000000002</v>
      </c>
      <c r="N22" s="5">
        <v>1434.7</v>
      </c>
    </row>
    <row r="23" spans="1:14">
      <c r="A23" s="2">
        <v>45099.416666666657</v>
      </c>
      <c r="B23" s="3">
        <v>2023</v>
      </c>
      <c r="C23" s="4" t="s">
        <v>76</v>
      </c>
      <c r="D23" s="4">
        <v>6</v>
      </c>
      <c r="E23" s="4" t="s">
        <v>19</v>
      </c>
      <c r="F23" s="4" t="s">
        <v>41</v>
      </c>
      <c r="G23" s="4" t="s">
        <v>39</v>
      </c>
      <c r="H23" s="4" t="s">
        <v>79</v>
      </c>
      <c r="I23" s="4" t="s">
        <v>61</v>
      </c>
      <c r="J23" s="5">
        <v>19</v>
      </c>
      <c r="K23" s="5">
        <v>4361.2299999999996</v>
      </c>
      <c r="L23" s="5">
        <v>82863.37</v>
      </c>
      <c r="M23" s="5">
        <v>51375.29</v>
      </c>
      <c r="N23" s="5">
        <v>31488.080000000002</v>
      </c>
    </row>
    <row r="24" spans="1:14">
      <c r="A24" s="2">
        <v>45456.416666666657</v>
      </c>
      <c r="B24" s="3">
        <v>2024</v>
      </c>
      <c r="C24" s="4" t="s">
        <v>76</v>
      </c>
      <c r="D24" s="4">
        <v>6</v>
      </c>
      <c r="E24" s="4" t="s">
        <v>19</v>
      </c>
      <c r="F24" s="4" t="s">
        <v>44</v>
      </c>
      <c r="G24" s="4" t="s">
        <v>36</v>
      </c>
      <c r="H24" s="4" t="s">
        <v>75</v>
      </c>
      <c r="I24" s="4" t="s">
        <v>71</v>
      </c>
      <c r="J24" s="5">
        <v>23</v>
      </c>
      <c r="K24" s="5">
        <v>344.11</v>
      </c>
      <c r="L24" s="5">
        <v>7914.53</v>
      </c>
      <c r="M24" s="5">
        <v>4907.01</v>
      </c>
      <c r="N24" s="5">
        <v>3007.52</v>
      </c>
    </row>
    <row r="25" spans="1:14">
      <c r="A25" s="2">
        <v>45829.416666666657</v>
      </c>
      <c r="B25" s="3">
        <v>2025</v>
      </c>
      <c r="C25" s="4" t="s">
        <v>76</v>
      </c>
      <c r="D25" s="4">
        <v>6</v>
      </c>
      <c r="E25" s="4" t="s">
        <v>19</v>
      </c>
      <c r="F25" s="4" t="s">
        <v>41</v>
      </c>
      <c r="G25" s="4" t="s">
        <v>36</v>
      </c>
      <c r="H25" s="4" t="s">
        <v>67</v>
      </c>
      <c r="I25" s="4" t="s">
        <v>61</v>
      </c>
      <c r="J25" s="5">
        <v>27</v>
      </c>
      <c r="K25" s="5">
        <v>1444.6</v>
      </c>
      <c r="L25" s="5">
        <v>39004.199999999997</v>
      </c>
      <c r="M25" s="5">
        <v>24182.6</v>
      </c>
      <c r="N25" s="5">
        <v>14821.6</v>
      </c>
    </row>
    <row r="26" spans="1:14">
      <c r="A26" s="2">
        <v>44769.416666666657</v>
      </c>
      <c r="B26" s="3">
        <v>2022</v>
      </c>
      <c r="C26" s="4" t="s">
        <v>80</v>
      </c>
      <c r="D26" s="4">
        <v>7</v>
      </c>
      <c r="E26" s="4" t="s">
        <v>21</v>
      </c>
      <c r="F26" s="4" t="s">
        <v>41</v>
      </c>
      <c r="G26" s="4" t="s">
        <v>36</v>
      </c>
      <c r="H26" s="4" t="s">
        <v>73</v>
      </c>
      <c r="I26" s="4" t="s">
        <v>63</v>
      </c>
      <c r="J26" s="5">
        <v>5</v>
      </c>
      <c r="K26" s="5">
        <v>1418.45</v>
      </c>
      <c r="L26" s="5">
        <v>7092.25</v>
      </c>
      <c r="M26" s="5">
        <v>4397.2</v>
      </c>
      <c r="N26" s="5">
        <v>2695.05</v>
      </c>
    </row>
    <row r="27" spans="1:14">
      <c r="A27" s="2">
        <v>45130.416666666657</v>
      </c>
      <c r="B27" s="3">
        <v>2023</v>
      </c>
      <c r="C27" s="4" t="s">
        <v>80</v>
      </c>
      <c r="D27" s="4">
        <v>7</v>
      </c>
      <c r="E27" s="4" t="s">
        <v>21</v>
      </c>
      <c r="F27" s="4" t="s">
        <v>43</v>
      </c>
      <c r="G27" s="4" t="s">
        <v>36</v>
      </c>
      <c r="H27" s="4" t="s">
        <v>81</v>
      </c>
      <c r="I27" s="4" t="s">
        <v>61</v>
      </c>
      <c r="J27" s="5">
        <v>25</v>
      </c>
      <c r="K27" s="5">
        <v>1092.81</v>
      </c>
      <c r="L27" s="5">
        <v>27320.25</v>
      </c>
      <c r="M27" s="5">
        <v>16938.560000000001</v>
      </c>
      <c r="N27" s="5">
        <v>10381.69</v>
      </c>
    </row>
    <row r="28" spans="1:14">
      <c r="A28" s="2">
        <v>45475.416666666657</v>
      </c>
      <c r="B28" s="3">
        <v>2024</v>
      </c>
      <c r="C28" s="4" t="s">
        <v>80</v>
      </c>
      <c r="D28" s="4">
        <v>7</v>
      </c>
      <c r="E28" s="4" t="s">
        <v>21</v>
      </c>
      <c r="F28" s="4" t="s">
        <v>41</v>
      </c>
      <c r="G28" s="4" t="s">
        <v>39</v>
      </c>
      <c r="H28" s="4" t="s">
        <v>82</v>
      </c>
      <c r="I28" s="4" t="s">
        <v>63</v>
      </c>
      <c r="J28" s="5">
        <v>8</v>
      </c>
      <c r="K28" s="5">
        <v>3062.95</v>
      </c>
      <c r="L28" s="5">
        <v>24503.599999999999</v>
      </c>
      <c r="M28" s="5">
        <v>15192.23</v>
      </c>
      <c r="N28" s="5">
        <v>9311.3700000000008</v>
      </c>
    </row>
    <row r="29" spans="1:14">
      <c r="A29" s="2">
        <v>45863.416666666657</v>
      </c>
      <c r="B29" s="3">
        <v>2025</v>
      </c>
      <c r="C29" s="4" t="s">
        <v>80</v>
      </c>
      <c r="D29" s="4">
        <v>7</v>
      </c>
      <c r="E29" s="4" t="s">
        <v>21</v>
      </c>
      <c r="F29" s="4" t="s">
        <v>41</v>
      </c>
      <c r="G29" s="4" t="s">
        <v>37</v>
      </c>
      <c r="H29" s="4" t="s">
        <v>62</v>
      </c>
      <c r="I29" s="4" t="s">
        <v>63</v>
      </c>
      <c r="J29" s="5">
        <v>13</v>
      </c>
      <c r="K29" s="5">
        <v>284.82</v>
      </c>
      <c r="L29" s="5">
        <v>3702.66</v>
      </c>
      <c r="M29" s="5">
        <v>2295.65</v>
      </c>
      <c r="N29" s="5">
        <v>1407.01</v>
      </c>
    </row>
    <row r="30" spans="1:14">
      <c r="A30" s="2">
        <v>44781.416666666657</v>
      </c>
      <c r="B30" s="3">
        <v>2022</v>
      </c>
      <c r="C30" s="4" t="s">
        <v>80</v>
      </c>
      <c r="D30" s="4">
        <v>8</v>
      </c>
      <c r="E30" s="4" t="s">
        <v>22</v>
      </c>
      <c r="F30" s="4" t="s">
        <v>41</v>
      </c>
      <c r="G30" s="4" t="s">
        <v>38</v>
      </c>
      <c r="H30" s="4" t="s">
        <v>83</v>
      </c>
      <c r="I30" s="4" t="s">
        <v>63</v>
      </c>
      <c r="J30" s="5">
        <v>16</v>
      </c>
      <c r="K30" s="5">
        <v>284.93</v>
      </c>
      <c r="L30" s="5">
        <v>4558.88</v>
      </c>
      <c r="M30" s="5">
        <v>2826.51</v>
      </c>
      <c r="N30" s="5">
        <v>1732.37</v>
      </c>
    </row>
    <row r="31" spans="1:14">
      <c r="A31" s="2">
        <v>45139.416666666657</v>
      </c>
      <c r="B31" s="3">
        <v>2023</v>
      </c>
      <c r="C31" s="4" t="s">
        <v>80</v>
      </c>
      <c r="D31" s="4">
        <v>8</v>
      </c>
      <c r="E31" s="4" t="s">
        <v>22</v>
      </c>
      <c r="F31" s="4" t="s">
        <v>40</v>
      </c>
      <c r="G31" s="4" t="s">
        <v>37</v>
      </c>
      <c r="H31" s="4" t="s">
        <v>84</v>
      </c>
      <c r="I31" s="4" t="s">
        <v>65</v>
      </c>
      <c r="J31" s="5">
        <v>14</v>
      </c>
      <c r="K31" s="5">
        <v>257.89999999999998</v>
      </c>
      <c r="L31" s="5">
        <v>3610.6</v>
      </c>
      <c r="M31" s="5">
        <v>2238.5700000000002</v>
      </c>
      <c r="N31" s="5">
        <v>1372.03</v>
      </c>
    </row>
    <row r="32" spans="1:14">
      <c r="A32" s="2">
        <v>45510.416666666657</v>
      </c>
      <c r="B32" s="3">
        <v>2024</v>
      </c>
      <c r="C32" s="4" t="s">
        <v>80</v>
      </c>
      <c r="D32" s="4">
        <v>8</v>
      </c>
      <c r="E32" s="4" t="s">
        <v>22</v>
      </c>
      <c r="F32" s="4" t="s">
        <v>42</v>
      </c>
      <c r="G32" s="4" t="s">
        <v>39</v>
      </c>
      <c r="H32" s="4" t="s">
        <v>78</v>
      </c>
      <c r="I32" s="4" t="s">
        <v>71</v>
      </c>
      <c r="J32" s="5">
        <v>12</v>
      </c>
      <c r="K32" s="5">
        <v>1684.77</v>
      </c>
      <c r="L32" s="5">
        <v>20217.240000000002</v>
      </c>
      <c r="M32" s="5">
        <v>12534.69</v>
      </c>
      <c r="N32" s="5">
        <v>7682.55</v>
      </c>
    </row>
    <row r="33" spans="1:14">
      <c r="A33" s="2">
        <v>45891.416666666657</v>
      </c>
      <c r="B33" s="3">
        <v>2025</v>
      </c>
      <c r="C33" s="4" t="s">
        <v>80</v>
      </c>
      <c r="D33" s="4">
        <v>8</v>
      </c>
      <c r="E33" s="4" t="s">
        <v>22</v>
      </c>
      <c r="F33" s="4" t="s">
        <v>43</v>
      </c>
      <c r="G33" s="4" t="s">
        <v>35</v>
      </c>
      <c r="H33" s="4" t="s">
        <v>64</v>
      </c>
      <c r="I33" s="4" t="s">
        <v>63</v>
      </c>
      <c r="J33" s="5">
        <v>21</v>
      </c>
      <c r="K33" s="5">
        <v>52.66</v>
      </c>
      <c r="L33" s="5">
        <v>1105.8599999999999</v>
      </c>
      <c r="M33" s="5">
        <v>685.63</v>
      </c>
      <c r="N33" s="5">
        <v>420.23</v>
      </c>
    </row>
    <row r="34" spans="1:14">
      <c r="A34" s="2">
        <v>44825.416666666657</v>
      </c>
      <c r="B34" s="3">
        <v>2022</v>
      </c>
      <c r="C34" s="4" t="s">
        <v>80</v>
      </c>
      <c r="D34" s="4">
        <v>9</v>
      </c>
      <c r="E34" s="4" t="s">
        <v>23</v>
      </c>
      <c r="F34" s="4" t="s">
        <v>42</v>
      </c>
      <c r="G34" s="4" t="s">
        <v>35</v>
      </c>
      <c r="H34" s="4" t="s">
        <v>69</v>
      </c>
      <c r="I34" s="4" t="s">
        <v>65</v>
      </c>
      <c r="J34" s="5">
        <v>12</v>
      </c>
      <c r="K34" s="5">
        <v>72.33</v>
      </c>
      <c r="L34" s="5">
        <v>867.96</v>
      </c>
      <c r="M34" s="5">
        <v>538.14</v>
      </c>
      <c r="N34" s="5">
        <v>329.82</v>
      </c>
    </row>
    <row r="35" spans="1:14">
      <c r="A35" s="2">
        <v>45196.416666666657</v>
      </c>
      <c r="B35" s="3">
        <v>2023</v>
      </c>
      <c r="C35" s="4" t="s">
        <v>80</v>
      </c>
      <c r="D35" s="4">
        <v>9</v>
      </c>
      <c r="E35" s="4" t="s">
        <v>23</v>
      </c>
      <c r="F35" s="4" t="s">
        <v>40</v>
      </c>
      <c r="G35" s="4" t="s">
        <v>39</v>
      </c>
      <c r="H35" s="4" t="s">
        <v>78</v>
      </c>
      <c r="I35" s="4" t="s">
        <v>63</v>
      </c>
      <c r="J35" s="5">
        <v>17</v>
      </c>
      <c r="K35" s="5">
        <v>4306.3500000000004</v>
      </c>
      <c r="L35" s="5">
        <v>73207.95</v>
      </c>
      <c r="M35" s="5">
        <v>45388.93</v>
      </c>
      <c r="N35" s="5">
        <v>27819.02</v>
      </c>
    </row>
    <row r="36" spans="1:14">
      <c r="A36" s="2">
        <v>45536.416666666657</v>
      </c>
      <c r="B36" s="3">
        <v>2024</v>
      </c>
      <c r="C36" s="4" t="s">
        <v>80</v>
      </c>
      <c r="D36" s="4">
        <v>9</v>
      </c>
      <c r="E36" s="4" t="s">
        <v>23</v>
      </c>
      <c r="F36" s="4" t="s">
        <v>41</v>
      </c>
      <c r="G36" s="4" t="s">
        <v>35</v>
      </c>
      <c r="H36" s="4" t="s">
        <v>70</v>
      </c>
      <c r="I36" s="4" t="s">
        <v>71</v>
      </c>
      <c r="J36" s="5">
        <v>36</v>
      </c>
      <c r="K36" s="5">
        <v>128.15</v>
      </c>
      <c r="L36" s="5">
        <v>4613.3999999999996</v>
      </c>
      <c r="M36" s="5">
        <v>2860.31</v>
      </c>
      <c r="N36" s="5">
        <v>1753.09</v>
      </c>
    </row>
    <row r="37" spans="1:14">
      <c r="A37" s="2">
        <v>45920.416666666657</v>
      </c>
      <c r="B37" s="3">
        <v>2025</v>
      </c>
      <c r="C37" s="4" t="s">
        <v>80</v>
      </c>
      <c r="D37" s="4">
        <v>9</v>
      </c>
      <c r="E37" s="4" t="s">
        <v>23</v>
      </c>
      <c r="F37" s="4" t="s">
        <v>42</v>
      </c>
      <c r="G37" s="4" t="s">
        <v>39</v>
      </c>
      <c r="H37" s="4" t="s">
        <v>82</v>
      </c>
      <c r="I37" s="4" t="s">
        <v>65</v>
      </c>
      <c r="J37" s="5">
        <v>14</v>
      </c>
      <c r="K37" s="5">
        <v>2365.66</v>
      </c>
      <c r="L37" s="5">
        <v>33119.24</v>
      </c>
      <c r="M37" s="5">
        <v>20533.93</v>
      </c>
      <c r="N37" s="5">
        <v>12585.31</v>
      </c>
    </row>
    <row r="38" spans="1:14">
      <c r="A38" s="2">
        <v>44842.416666666657</v>
      </c>
      <c r="B38" s="3">
        <v>2022</v>
      </c>
      <c r="C38" s="4" t="s">
        <v>85</v>
      </c>
      <c r="D38" s="4">
        <v>10</v>
      </c>
      <c r="E38" s="4" t="s">
        <v>29</v>
      </c>
      <c r="F38" s="4" t="s">
        <v>40</v>
      </c>
      <c r="G38" s="4" t="s">
        <v>39</v>
      </c>
      <c r="H38" s="4" t="s">
        <v>82</v>
      </c>
      <c r="I38" s="4" t="s">
        <v>71</v>
      </c>
      <c r="J38" s="5">
        <v>5</v>
      </c>
      <c r="K38" s="5">
        <v>1406.82</v>
      </c>
      <c r="L38" s="5">
        <v>7034.1</v>
      </c>
      <c r="M38" s="5">
        <v>4361.1400000000003</v>
      </c>
      <c r="N38" s="5">
        <v>2672.96</v>
      </c>
    </row>
    <row r="39" spans="1:14">
      <c r="A39" s="2">
        <v>45202.416666666657</v>
      </c>
      <c r="B39" s="3">
        <v>2023</v>
      </c>
      <c r="C39" s="4" t="s">
        <v>85</v>
      </c>
      <c r="D39" s="4">
        <v>10</v>
      </c>
      <c r="E39" s="4" t="s">
        <v>29</v>
      </c>
      <c r="F39" s="4" t="s">
        <v>44</v>
      </c>
      <c r="G39" s="4" t="s">
        <v>39</v>
      </c>
      <c r="H39" s="4" t="s">
        <v>82</v>
      </c>
      <c r="I39" s="4" t="s">
        <v>86</v>
      </c>
      <c r="J39" s="5">
        <v>23</v>
      </c>
      <c r="K39" s="5">
        <v>680.29</v>
      </c>
      <c r="L39" s="5">
        <v>15646.67</v>
      </c>
      <c r="M39" s="5">
        <v>9700.94</v>
      </c>
      <c r="N39" s="5">
        <v>5945.73</v>
      </c>
    </row>
    <row r="40" spans="1:14">
      <c r="A40" s="2">
        <v>45566.416666666657</v>
      </c>
      <c r="B40" s="3">
        <v>2024</v>
      </c>
      <c r="C40" s="4" t="s">
        <v>85</v>
      </c>
      <c r="D40" s="4">
        <v>10</v>
      </c>
      <c r="E40" s="4" t="s">
        <v>29</v>
      </c>
      <c r="F40" s="4" t="s">
        <v>43</v>
      </c>
      <c r="G40" s="4" t="s">
        <v>37</v>
      </c>
      <c r="H40" s="4" t="s">
        <v>87</v>
      </c>
      <c r="I40" s="4" t="s">
        <v>68</v>
      </c>
      <c r="J40" s="5">
        <v>23</v>
      </c>
      <c r="K40" s="5">
        <v>370.97</v>
      </c>
      <c r="L40" s="5">
        <v>8532.31</v>
      </c>
      <c r="M40" s="5">
        <v>5290.03</v>
      </c>
      <c r="N40" s="5">
        <v>3242.28</v>
      </c>
    </row>
    <row r="41" spans="1:14">
      <c r="A41" s="2">
        <v>45948.416666666657</v>
      </c>
      <c r="B41" s="3">
        <v>2025</v>
      </c>
      <c r="C41" s="4" t="s">
        <v>85</v>
      </c>
      <c r="D41" s="4">
        <v>10</v>
      </c>
      <c r="E41" s="4" t="s">
        <v>29</v>
      </c>
      <c r="F41" s="4" t="s">
        <v>44</v>
      </c>
      <c r="G41" s="4" t="s">
        <v>37</v>
      </c>
      <c r="H41" s="4" t="s">
        <v>62</v>
      </c>
      <c r="I41" s="4" t="s">
        <v>68</v>
      </c>
      <c r="J41" s="5">
        <v>35</v>
      </c>
      <c r="K41" s="5">
        <v>436.14</v>
      </c>
      <c r="L41" s="5">
        <v>15264.9</v>
      </c>
      <c r="M41" s="5">
        <v>9464.24</v>
      </c>
      <c r="N41" s="5">
        <v>5800.66</v>
      </c>
    </row>
    <row r="42" spans="1:14">
      <c r="A42" s="2">
        <v>44892.416666666657</v>
      </c>
      <c r="B42" s="3">
        <v>2022</v>
      </c>
      <c r="C42" s="4" t="s">
        <v>85</v>
      </c>
      <c r="D42" s="4">
        <v>11</v>
      </c>
      <c r="E42" s="4" t="s">
        <v>30</v>
      </c>
      <c r="F42" s="4" t="s">
        <v>40</v>
      </c>
      <c r="G42" s="4" t="s">
        <v>39</v>
      </c>
      <c r="H42" s="4" t="s">
        <v>78</v>
      </c>
      <c r="I42" s="4" t="s">
        <v>65</v>
      </c>
      <c r="J42" s="5">
        <v>15</v>
      </c>
      <c r="K42" s="5">
        <v>1983.59</v>
      </c>
      <c r="L42" s="5">
        <v>29753.85</v>
      </c>
      <c r="M42" s="5">
        <v>18447.39</v>
      </c>
      <c r="N42" s="5">
        <v>11306.46</v>
      </c>
    </row>
    <row r="43" spans="1:14">
      <c r="A43" s="2">
        <v>45234.416666666657</v>
      </c>
      <c r="B43" s="3">
        <v>2023</v>
      </c>
      <c r="C43" s="4" t="s">
        <v>85</v>
      </c>
      <c r="D43" s="4">
        <v>11</v>
      </c>
      <c r="E43" s="4" t="s">
        <v>30</v>
      </c>
      <c r="F43" s="4" t="s">
        <v>41</v>
      </c>
      <c r="G43" s="4" t="s">
        <v>38</v>
      </c>
      <c r="H43" s="4" t="s">
        <v>74</v>
      </c>
      <c r="I43" s="4" t="s">
        <v>65</v>
      </c>
      <c r="J43" s="5">
        <v>8</v>
      </c>
      <c r="K43" s="5">
        <v>313.98</v>
      </c>
      <c r="L43" s="5">
        <v>2511.84</v>
      </c>
      <c r="M43" s="5">
        <v>1557.34</v>
      </c>
      <c r="N43" s="5">
        <v>954.5</v>
      </c>
    </row>
    <row r="44" spans="1:14">
      <c r="A44" s="2">
        <v>45606.416666666657</v>
      </c>
      <c r="B44" s="3">
        <v>2024</v>
      </c>
      <c r="C44" s="4" t="s">
        <v>85</v>
      </c>
      <c r="D44" s="4">
        <v>11</v>
      </c>
      <c r="E44" s="4" t="s">
        <v>30</v>
      </c>
      <c r="F44" s="4" t="s">
        <v>43</v>
      </c>
      <c r="G44" s="4" t="s">
        <v>38</v>
      </c>
      <c r="H44" s="4" t="s">
        <v>88</v>
      </c>
      <c r="I44" s="4" t="s">
        <v>86</v>
      </c>
      <c r="J44" s="5">
        <v>10</v>
      </c>
      <c r="K44" s="5">
        <v>315.27</v>
      </c>
      <c r="L44" s="5">
        <v>3152.7</v>
      </c>
      <c r="M44" s="5">
        <v>1954.67</v>
      </c>
      <c r="N44" s="5">
        <v>1198.03</v>
      </c>
    </row>
    <row r="45" spans="1:14">
      <c r="A45" s="2">
        <v>45976.416666666657</v>
      </c>
      <c r="B45" s="3">
        <v>2025</v>
      </c>
      <c r="C45" s="4" t="s">
        <v>85</v>
      </c>
      <c r="D45" s="4">
        <v>11</v>
      </c>
      <c r="E45" s="4" t="s">
        <v>30</v>
      </c>
      <c r="F45" s="4" t="s">
        <v>42</v>
      </c>
      <c r="G45" s="4" t="s">
        <v>39</v>
      </c>
      <c r="H45" s="4" t="s">
        <v>89</v>
      </c>
      <c r="I45" s="4" t="s">
        <v>68</v>
      </c>
      <c r="J45" s="5">
        <v>40</v>
      </c>
      <c r="K45" s="5">
        <v>1464.12</v>
      </c>
      <c r="L45" s="5">
        <v>58564.800000000003</v>
      </c>
      <c r="M45" s="5">
        <v>36310.18</v>
      </c>
      <c r="N45" s="5">
        <v>22254.62</v>
      </c>
    </row>
    <row r="46" spans="1:14">
      <c r="A46" s="2">
        <v>44910.416666666657</v>
      </c>
      <c r="B46" s="3">
        <v>2022</v>
      </c>
      <c r="C46" s="4" t="s">
        <v>85</v>
      </c>
      <c r="D46" s="4">
        <v>12</v>
      </c>
      <c r="E46" s="4" t="s">
        <v>31</v>
      </c>
      <c r="F46" s="4" t="s">
        <v>40</v>
      </c>
      <c r="G46" s="4" t="s">
        <v>39</v>
      </c>
      <c r="H46" s="4" t="s">
        <v>89</v>
      </c>
      <c r="I46" s="4" t="s">
        <v>86</v>
      </c>
      <c r="J46" s="5">
        <v>5</v>
      </c>
      <c r="K46" s="5">
        <v>1007.46</v>
      </c>
      <c r="L46" s="5">
        <v>5037.3</v>
      </c>
      <c r="M46" s="5">
        <v>3123.13</v>
      </c>
      <c r="N46" s="5">
        <v>1914.17</v>
      </c>
    </row>
    <row r="47" spans="1:14">
      <c r="A47" s="2">
        <v>45275.416666666657</v>
      </c>
      <c r="B47" s="3">
        <v>2023</v>
      </c>
      <c r="C47" s="4" t="s">
        <v>85</v>
      </c>
      <c r="D47" s="4">
        <v>12</v>
      </c>
      <c r="E47" s="4" t="s">
        <v>31</v>
      </c>
      <c r="F47" s="4" t="s">
        <v>40</v>
      </c>
      <c r="G47" s="4" t="s">
        <v>38</v>
      </c>
      <c r="H47" s="4" t="s">
        <v>88</v>
      </c>
      <c r="I47" s="4" t="s">
        <v>63</v>
      </c>
      <c r="J47" s="5">
        <v>10</v>
      </c>
      <c r="K47" s="5">
        <v>309.86</v>
      </c>
      <c r="L47" s="5">
        <v>3098.6</v>
      </c>
      <c r="M47" s="5">
        <v>1921.13</v>
      </c>
      <c r="N47" s="5">
        <v>1177.47</v>
      </c>
    </row>
    <row r="48" spans="1:14">
      <c r="A48" s="2">
        <v>45637.416666666657</v>
      </c>
      <c r="B48" s="3">
        <v>2024</v>
      </c>
      <c r="C48" s="4" t="s">
        <v>85</v>
      </c>
      <c r="D48" s="4">
        <v>12</v>
      </c>
      <c r="E48" s="4" t="s">
        <v>31</v>
      </c>
      <c r="F48" s="4" t="s">
        <v>43</v>
      </c>
      <c r="G48" s="4" t="s">
        <v>39</v>
      </c>
      <c r="H48" s="4" t="s">
        <v>89</v>
      </c>
      <c r="I48" s="4" t="s">
        <v>71</v>
      </c>
      <c r="J48" s="5">
        <v>34</v>
      </c>
      <c r="K48" s="5">
        <v>384.23</v>
      </c>
      <c r="L48" s="5">
        <v>13063.82</v>
      </c>
      <c r="M48" s="5">
        <v>8099.57</v>
      </c>
      <c r="N48" s="5">
        <v>4964.25</v>
      </c>
    </row>
    <row r="49" spans="1:14">
      <c r="A49" s="2">
        <v>46005.416666666657</v>
      </c>
      <c r="B49" s="3">
        <v>2025</v>
      </c>
      <c r="C49" s="4" t="s">
        <v>85</v>
      </c>
      <c r="D49" s="4">
        <v>12</v>
      </c>
      <c r="E49" s="4" t="s">
        <v>31</v>
      </c>
      <c r="F49" s="4" t="s">
        <v>42</v>
      </c>
      <c r="G49" s="4" t="s">
        <v>37</v>
      </c>
      <c r="H49" s="4" t="s">
        <v>62</v>
      </c>
      <c r="I49" s="4" t="s">
        <v>65</v>
      </c>
      <c r="J49" s="5">
        <v>28</v>
      </c>
      <c r="K49" s="5">
        <v>221.09</v>
      </c>
      <c r="L49" s="5">
        <v>6190.52</v>
      </c>
      <c r="M49" s="5">
        <v>3838.12</v>
      </c>
      <c r="N49" s="5">
        <v>2352.4</v>
      </c>
    </row>
    <row r="50" spans="1:14">
      <c r="A50" s="2">
        <v>44562.416666666657</v>
      </c>
      <c r="B50" s="3">
        <v>2022</v>
      </c>
      <c r="C50" s="4" t="s">
        <v>59</v>
      </c>
      <c r="D50" s="4">
        <v>1</v>
      </c>
      <c r="E50" s="4" t="s">
        <v>1</v>
      </c>
      <c r="F50" s="4" t="s">
        <v>40</v>
      </c>
      <c r="G50" s="4" t="s">
        <v>38</v>
      </c>
      <c r="H50" s="4" t="s">
        <v>83</v>
      </c>
      <c r="I50" s="4" t="s">
        <v>86</v>
      </c>
      <c r="J50" s="5">
        <v>13</v>
      </c>
      <c r="K50" s="5">
        <v>206.62</v>
      </c>
      <c r="L50" s="5">
        <v>2686.06</v>
      </c>
      <c r="M50" s="5">
        <v>1665.36</v>
      </c>
      <c r="N50" s="5">
        <v>1020.7</v>
      </c>
    </row>
    <row r="51" spans="1:14">
      <c r="A51" s="2">
        <v>44945.416666666657</v>
      </c>
      <c r="B51" s="3">
        <v>2023</v>
      </c>
      <c r="C51" s="4" t="s">
        <v>59</v>
      </c>
      <c r="D51" s="4">
        <v>1</v>
      </c>
      <c r="E51" s="4" t="s">
        <v>1</v>
      </c>
      <c r="F51" s="4" t="s">
        <v>43</v>
      </c>
      <c r="G51" s="4" t="s">
        <v>36</v>
      </c>
      <c r="H51" s="4" t="s">
        <v>67</v>
      </c>
      <c r="I51" s="4" t="s">
        <v>61</v>
      </c>
      <c r="J51" s="5">
        <v>28</v>
      </c>
      <c r="K51" s="5">
        <v>1991.28</v>
      </c>
      <c r="L51" s="5">
        <v>55755.839999999997</v>
      </c>
      <c r="M51" s="5">
        <v>34568.620000000003</v>
      </c>
      <c r="N51" s="5">
        <v>21187.22</v>
      </c>
    </row>
    <row r="52" spans="1:14">
      <c r="A52" s="2">
        <v>45313.416666666657</v>
      </c>
      <c r="B52" s="3">
        <v>2024</v>
      </c>
      <c r="C52" s="4" t="s">
        <v>59</v>
      </c>
      <c r="D52" s="4">
        <v>1</v>
      </c>
      <c r="E52" s="4" t="s">
        <v>1</v>
      </c>
      <c r="F52" s="4" t="s">
        <v>41</v>
      </c>
      <c r="G52" s="4" t="s">
        <v>36</v>
      </c>
      <c r="H52" s="4" t="s">
        <v>67</v>
      </c>
      <c r="I52" s="4" t="s">
        <v>61</v>
      </c>
      <c r="J52" s="5">
        <v>40</v>
      </c>
      <c r="K52" s="5">
        <v>2875.62</v>
      </c>
      <c r="L52" s="5">
        <v>115024.8</v>
      </c>
      <c r="M52" s="5">
        <v>71315.38</v>
      </c>
      <c r="N52" s="5">
        <v>43709.42</v>
      </c>
    </row>
    <row r="53" spans="1:14">
      <c r="A53" s="2">
        <v>45677.416666666657</v>
      </c>
      <c r="B53" s="3">
        <v>2025</v>
      </c>
      <c r="C53" s="4" t="s">
        <v>59</v>
      </c>
      <c r="D53" s="4">
        <v>1</v>
      </c>
      <c r="E53" s="4" t="s">
        <v>1</v>
      </c>
      <c r="F53" s="4" t="s">
        <v>42</v>
      </c>
      <c r="G53" s="4" t="s">
        <v>35</v>
      </c>
      <c r="H53" s="4" t="s">
        <v>90</v>
      </c>
      <c r="I53" s="4" t="s">
        <v>71</v>
      </c>
      <c r="J53" s="5">
        <v>6</v>
      </c>
      <c r="K53" s="5">
        <v>82.65</v>
      </c>
      <c r="L53" s="5">
        <v>495.9</v>
      </c>
      <c r="M53" s="5">
        <v>307.45999999999998</v>
      </c>
      <c r="N53" s="5">
        <v>188.44</v>
      </c>
    </row>
    <row r="54" spans="1:14">
      <c r="A54" s="2">
        <v>44597.416666666657</v>
      </c>
      <c r="B54" s="3">
        <v>2022</v>
      </c>
      <c r="C54" s="4" t="s">
        <v>59</v>
      </c>
      <c r="D54" s="4">
        <v>2</v>
      </c>
      <c r="E54" s="4" t="s">
        <v>2</v>
      </c>
      <c r="F54" s="4" t="s">
        <v>44</v>
      </c>
      <c r="G54" s="4" t="s">
        <v>35</v>
      </c>
      <c r="H54" s="4" t="s">
        <v>69</v>
      </c>
      <c r="I54" s="4" t="s">
        <v>68</v>
      </c>
      <c r="J54" s="5">
        <v>7</v>
      </c>
      <c r="K54" s="5">
        <v>22.35</v>
      </c>
      <c r="L54" s="5">
        <v>156.44999999999999</v>
      </c>
      <c r="M54" s="5">
        <v>97</v>
      </c>
      <c r="N54" s="5">
        <v>59.45</v>
      </c>
    </row>
    <row r="55" spans="1:14">
      <c r="A55" s="2">
        <v>44969.416666666657</v>
      </c>
      <c r="B55" s="3">
        <v>2023</v>
      </c>
      <c r="C55" s="4" t="s">
        <v>59</v>
      </c>
      <c r="D55" s="4">
        <v>2</v>
      </c>
      <c r="E55" s="4" t="s">
        <v>2</v>
      </c>
      <c r="F55" s="4" t="s">
        <v>43</v>
      </c>
      <c r="G55" s="4" t="s">
        <v>38</v>
      </c>
      <c r="H55" s="4" t="s">
        <v>77</v>
      </c>
      <c r="I55" s="4" t="s">
        <v>65</v>
      </c>
      <c r="J55" s="5">
        <v>16</v>
      </c>
      <c r="K55" s="5">
        <v>264.14</v>
      </c>
      <c r="L55" s="5">
        <v>4226.24</v>
      </c>
      <c r="M55" s="5">
        <v>2620.27</v>
      </c>
      <c r="N55" s="5">
        <v>1605.97</v>
      </c>
    </row>
    <row r="56" spans="1:14">
      <c r="A56" s="2">
        <v>45333.416666666657</v>
      </c>
      <c r="B56" s="3">
        <v>2024</v>
      </c>
      <c r="C56" s="4" t="s">
        <v>59</v>
      </c>
      <c r="D56" s="4">
        <v>2</v>
      </c>
      <c r="E56" s="4" t="s">
        <v>2</v>
      </c>
      <c r="F56" s="4" t="s">
        <v>41</v>
      </c>
      <c r="G56" s="4" t="s">
        <v>35</v>
      </c>
      <c r="H56" s="4" t="s">
        <v>90</v>
      </c>
      <c r="I56" s="4" t="s">
        <v>65</v>
      </c>
      <c r="J56" s="5">
        <v>6</v>
      </c>
      <c r="K56" s="5">
        <v>68.540000000000006</v>
      </c>
      <c r="L56" s="5">
        <v>411.24</v>
      </c>
      <c r="M56" s="5">
        <v>254.97</v>
      </c>
      <c r="N56" s="5">
        <v>156.27000000000001</v>
      </c>
    </row>
    <row r="57" spans="1:14">
      <c r="A57" s="2">
        <v>45714.416666666657</v>
      </c>
      <c r="B57" s="3">
        <v>2025</v>
      </c>
      <c r="C57" s="4" t="s">
        <v>59</v>
      </c>
      <c r="D57" s="4">
        <v>2</v>
      </c>
      <c r="E57" s="4" t="s">
        <v>2</v>
      </c>
      <c r="F57" s="4" t="s">
        <v>44</v>
      </c>
      <c r="G57" s="4" t="s">
        <v>37</v>
      </c>
      <c r="H57" s="4" t="s">
        <v>66</v>
      </c>
      <c r="I57" s="4" t="s">
        <v>71</v>
      </c>
      <c r="J57" s="5">
        <v>7</v>
      </c>
      <c r="K57" s="5">
        <v>289.93</v>
      </c>
      <c r="L57" s="5">
        <v>2029.51</v>
      </c>
      <c r="M57" s="5">
        <v>1258.3</v>
      </c>
      <c r="N57" s="5">
        <v>771.21</v>
      </c>
    </row>
    <row r="58" spans="1:14">
      <c r="A58" s="2">
        <v>44639.416666666657</v>
      </c>
      <c r="B58" s="3">
        <v>2022</v>
      </c>
      <c r="C58" s="4" t="s">
        <v>59</v>
      </c>
      <c r="D58" s="4">
        <v>3</v>
      </c>
      <c r="E58" s="4" t="s">
        <v>13</v>
      </c>
      <c r="F58" s="4" t="s">
        <v>43</v>
      </c>
      <c r="G58" s="4" t="s">
        <v>37</v>
      </c>
      <c r="H58" s="4" t="s">
        <v>66</v>
      </c>
      <c r="I58" s="4" t="s">
        <v>61</v>
      </c>
      <c r="J58" s="5">
        <v>7</v>
      </c>
      <c r="K58" s="5">
        <v>518.49</v>
      </c>
      <c r="L58" s="5">
        <v>3629.43</v>
      </c>
      <c r="M58" s="5">
        <v>2250.25</v>
      </c>
      <c r="N58" s="5">
        <v>1379.18</v>
      </c>
    </row>
    <row r="59" spans="1:14">
      <c r="A59" s="2">
        <v>44995.416666666657</v>
      </c>
      <c r="B59" s="3">
        <v>2023</v>
      </c>
      <c r="C59" s="4" t="s">
        <v>59</v>
      </c>
      <c r="D59" s="4">
        <v>3</v>
      </c>
      <c r="E59" s="4" t="s">
        <v>13</v>
      </c>
      <c r="F59" s="4" t="s">
        <v>43</v>
      </c>
      <c r="G59" s="4" t="s">
        <v>35</v>
      </c>
      <c r="H59" s="4" t="s">
        <v>70</v>
      </c>
      <c r="I59" s="4" t="s">
        <v>65</v>
      </c>
      <c r="J59" s="5">
        <v>16</v>
      </c>
      <c r="K59" s="5">
        <v>81.53</v>
      </c>
      <c r="L59" s="5">
        <v>1304.48</v>
      </c>
      <c r="M59" s="5">
        <v>808.78</v>
      </c>
      <c r="N59" s="5">
        <v>495.7</v>
      </c>
    </row>
    <row r="60" spans="1:14">
      <c r="A60" s="2">
        <v>45364.416666666657</v>
      </c>
      <c r="B60" s="3">
        <v>2024</v>
      </c>
      <c r="C60" s="4" t="s">
        <v>59</v>
      </c>
      <c r="D60" s="4">
        <v>3</v>
      </c>
      <c r="E60" s="4" t="s">
        <v>13</v>
      </c>
      <c r="F60" s="4" t="s">
        <v>43</v>
      </c>
      <c r="G60" s="4" t="s">
        <v>35</v>
      </c>
      <c r="H60" s="4" t="s">
        <v>90</v>
      </c>
      <c r="I60" s="4" t="s">
        <v>61</v>
      </c>
      <c r="J60" s="5">
        <v>15</v>
      </c>
      <c r="K60" s="5">
        <v>119.23</v>
      </c>
      <c r="L60" s="5">
        <v>1788.45</v>
      </c>
      <c r="M60" s="5">
        <v>1108.8399999999999</v>
      </c>
      <c r="N60" s="5">
        <v>679.61</v>
      </c>
    </row>
    <row r="61" spans="1:14">
      <c r="A61" s="2">
        <v>45733.416666666657</v>
      </c>
      <c r="B61" s="3">
        <v>2025</v>
      </c>
      <c r="C61" s="4" t="s">
        <v>59</v>
      </c>
      <c r="D61" s="4">
        <v>3</v>
      </c>
      <c r="E61" s="4" t="s">
        <v>13</v>
      </c>
      <c r="F61" s="4" t="s">
        <v>42</v>
      </c>
      <c r="G61" s="4" t="s">
        <v>39</v>
      </c>
      <c r="H61" s="4" t="s">
        <v>79</v>
      </c>
      <c r="I61" s="4" t="s">
        <v>68</v>
      </c>
      <c r="J61" s="5">
        <v>16</v>
      </c>
      <c r="K61" s="5">
        <v>2821.4</v>
      </c>
      <c r="L61" s="5">
        <v>45142.400000000001</v>
      </c>
      <c r="M61" s="5">
        <v>27988.29</v>
      </c>
      <c r="N61" s="5">
        <v>17154.11</v>
      </c>
    </row>
    <row r="62" spans="1:14">
      <c r="A62" s="2">
        <v>44658.416666666657</v>
      </c>
      <c r="B62" s="3">
        <v>2022</v>
      </c>
      <c r="C62" s="4" t="s">
        <v>76</v>
      </c>
      <c r="D62" s="4">
        <v>4</v>
      </c>
      <c r="E62" s="4" t="s">
        <v>17</v>
      </c>
      <c r="F62" s="4" t="s">
        <v>44</v>
      </c>
      <c r="G62" s="4" t="s">
        <v>38</v>
      </c>
      <c r="H62" s="4" t="s">
        <v>77</v>
      </c>
      <c r="I62" s="4" t="s">
        <v>68</v>
      </c>
      <c r="J62" s="5">
        <v>18</v>
      </c>
      <c r="K62" s="5">
        <v>392.64</v>
      </c>
      <c r="L62" s="5">
        <v>7067.52</v>
      </c>
      <c r="M62" s="5">
        <v>4381.8599999999997</v>
      </c>
      <c r="N62" s="5">
        <v>2685.66</v>
      </c>
    </row>
    <row r="63" spans="1:14">
      <c r="A63" s="2">
        <v>45020.416666666657</v>
      </c>
      <c r="B63" s="3">
        <v>2023</v>
      </c>
      <c r="C63" s="4" t="s">
        <v>76</v>
      </c>
      <c r="D63" s="4">
        <v>4</v>
      </c>
      <c r="E63" s="4" t="s">
        <v>17</v>
      </c>
      <c r="F63" s="4" t="s">
        <v>44</v>
      </c>
      <c r="G63" s="4" t="s">
        <v>38</v>
      </c>
      <c r="H63" s="4" t="s">
        <v>88</v>
      </c>
      <c r="I63" s="4" t="s">
        <v>86</v>
      </c>
      <c r="J63" s="5">
        <v>11</v>
      </c>
      <c r="K63" s="5">
        <v>76.290000000000006</v>
      </c>
      <c r="L63" s="5">
        <v>839.19</v>
      </c>
      <c r="M63" s="5">
        <v>520.29999999999995</v>
      </c>
      <c r="N63" s="5">
        <v>318.89</v>
      </c>
    </row>
    <row r="64" spans="1:14">
      <c r="A64" s="2">
        <v>45400.416666666657</v>
      </c>
      <c r="B64" s="3">
        <v>2024</v>
      </c>
      <c r="C64" s="4" t="s">
        <v>76</v>
      </c>
      <c r="D64" s="4">
        <v>4</v>
      </c>
      <c r="E64" s="4" t="s">
        <v>17</v>
      </c>
      <c r="F64" s="4" t="s">
        <v>41</v>
      </c>
      <c r="G64" s="4" t="s">
        <v>36</v>
      </c>
      <c r="H64" s="4" t="s">
        <v>91</v>
      </c>
      <c r="I64" s="4" t="s">
        <v>68</v>
      </c>
      <c r="J64" s="5">
        <v>7</v>
      </c>
      <c r="K64" s="5">
        <v>1385.28</v>
      </c>
      <c r="L64" s="5">
        <v>9696.9599999999991</v>
      </c>
      <c r="M64" s="5">
        <v>6012.12</v>
      </c>
      <c r="N64" s="5">
        <v>3684.84</v>
      </c>
    </row>
    <row r="65" spans="1:14">
      <c r="A65" s="2">
        <v>45763.416666666657</v>
      </c>
      <c r="B65" s="3">
        <v>2025</v>
      </c>
      <c r="C65" s="4" t="s">
        <v>76</v>
      </c>
      <c r="D65" s="4">
        <v>4</v>
      </c>
      <c r="E65" s="4" t="s">
        <v>17</v>
      </c>
      <c r="F65" s="4" t="s">
        <v>42</v>
      </c>
      <c r="G65" s="4" t="s">
        <v>39</v>
      </c>
      <c r="H65" s="4" t="s">
        <v>89</v>
      </c>
      <c r="I65" s="4" t="s">
        <v>68</v>
      </c>
      <c r="J65" s="5">
        <v>14</v>
      </c>
      <c r="K65" s="5">
        <v>6002.11</v>
      </c>
      <c r="L65" s="5">
        <v>84029.54</v>
      </c>
      <c r="M65" s="5">
        <v>52098.31</v>
      </c>
      <c r="N65" s="5">
        <v>31931.23</v>
      </c>
    </row>
    <row r="66" spans="1:14">
      <c r="A66" s="2">
        <v>44696.416666666657</v>
      </c>
      <c r="B66" s="3">
        <v>2022</v>
      </c>
      <c r="C66" s="4" t="s">
        <v>76</v>
      </c>
      <c r="D66" s="4">
        <v>5</v>
      </c>
      <c r="E66" s="4" t="s">
        <v>18</v>
      </c>
      <c r="F66" s="4" t="s">
        <v>44</v>
      </c>
      <c r="G66" s="4" t="s">
        <v>37</v>
      </c>
      <c r="H66" s="4" t="s">
        <v>84</v>
      </c>
      <c r="I66" s="4" t="s">
        <v>61</v>
      </c>
      <c r="J66" s="5">
        <v>7</v>
      </c>
      <c r="K66" s="5">
        <v>492.53</v>
      </c>
      <c r="L66" s="5">
        <v>3447.71</v>
      </c>
      <c r="M66" s="5">
        <v>2137.58</v>
      </c>
      <c r="N66" s="5">
        <v>1310.1300000000001</v>
      </c>
    </row>
    <row r="67" spans="1:14">
      <c r="A67" s="2">
        <v>45074.416666666657</v>
      </c>
      <c r="B67" s="3">
        <v>2023</v>
      </c>
      <c r="C67" s="4" t="s">
        <v>76</v>
      </c>
      <c r="D67" s="4">
        <v>5</v>
      </c>
      <c r="E67" s="4" t="s">
        <v>18</v>
      </c>
      <c r="F67" s="4" t="s">
        <v>40</v>
      </c>
      <c r="G67" s="4" t="s">
        <v>38</v>
      </c>
      <c r="H67" s="4" t="s">
        <v>72</v>
      </c>
      <c r="I67" s="4" t="s">
        <v>68</v>
      </c>
      <c r="J67" s="5">
        <v>23</v>
      </c>
      <c r="K67" s="5">
        <v>407.9</v>
      </c>
      <c r="L67" s="5">
        <v>9381.7000000000007</v>
      </c>
      <c r="M67" s="5">
        <v>5816.65</v>
      </c>
      <c r="N67" s="5">
        <v>3565.05</v>
      </c>
    </row>
    <row r="68" spans="1:14">
      <c r="A68" s="2">
        <v>45426.416666666657</v>
      </c>
      <c r="B68" s="3">
        <v>2024</v>
      </c>
      <c r="C68" s="4" t="s">
        <v>76</v>
      </c>
      <c r="D68" s="4">
        <v>5</v>
      </c>
      <c r="E68" s="4" t="s">
        <v>18</v>
      </c>
      <c r="F68" s="4" t="s">
        <v>43</v>
      </c>
      <c r="G68" s="4" t="s">
        <v>38</v>
      </c>
      <c r="H68" s="4" t="s">
        <v>88</v>
      </c>
      <c r="I68" s="4" t="s">
        <v>63</v>
      </c>
      <c r="J68" s="5">
        <v>16</v>
      </c>
      <c r="K68" s="5">
        <v>326.54000000000002</v>
      </c>
      <c r="L68" s="5">
        <v>5224.6400000000003</v>
      </c>
      <c r="M68" s="5">
        <v>3239.28</v>
      </c>
      <c r="N68" s="5">
        <v>1985.36</v>
      </c>
    </row>
    <row r="69" spans="1:14">
      <c r="A69" s="2">
        <v>45797.416666666657</v>
      </c>
      <c r="B69" s="3">
        <v>2025</v>
      </c>
      <c r="C69" s="4" t="s">
        <v>76</v>
      </c>
      <c r="D69" s="4">
        <v>5</v>
      </c>
      <c r="E69" s="4" t="s">
        <v>18</v>
      </c>
      <c r="F69" s="4" t="s">
        <v>43</v>
      </c>
      <c r="G69" s="4" t="s">
        <v>35</v>
      </c>
      <c r="H69" s="4" t="s">
        <v>92</v>
      </c>
      <c r="I69" s="4" t="s">
        <v>63</v>
      </c>
      <c r="J69" s="5">
        <v>5</v>
      </c>
      <c r="K69" s="5">
        <v>71.31</v>
      </c>
      <c r="L69" s="5">
        <v>356.55</v>
      </c>
      <c r="M69" s="5">
        <v>221.06</v>
      </c>
      <c r="N69" s="5">
        <v>135.49</v>
      </c>
    </row>
    <row r="70" spans="1:14">
      <c r="A70" s="2">
        <v>44724.416666666657</v>
      </c>
      <c r="B70" s="3">
        <v>2022</v>
      </c>
      <c r="C70" s="4" t="s">
        <v>76</v>
      </c>
      <c r="D70" s="4">
        <v>6</v>
      </c>
      <c r="E70" s="4" t="s">
        <v>19</v>
      </c>
      <c r="F70" s="4" t="s">
        <v>41</v>
      </c>
      <c r="G70" s="4" t="s">
        <v>37</v>
      </c>
      <c r="H70" s="4" t="s">
        <v>62</v>
      </c>
      <c r="I70" s="4" t="s">
        <v>61</v>
      </c>
      <c r="J70" s="5">
        <v>12</v>
      </c>
      <c r="K70" s="5">
        <v>468.14</v>
      </c>
      <c r="L70" s="5">
        <v>5617.68</v>
      </c>
      <c r="M70" s="5">
        <v>3482.96</v>
      </c>
      <c r="N70" s="5">
        <v>2134.7199999999998</v>
      </c>
    </row>
    <row r="71" spans="1:14">
      <c r="A71" s="2">
        <v>45093.416666666657</v>
      </c>
      <c r="B71" s="3">
        <v>2023</v>
      </c>
      <c r="C71" s="4" t="s">
        <v>76</v>
      </c>
      <c r="D71" s="4">
        <v>6</v>
      </c>
      <c r="E71" s="4" t="s">
        <v>19</v>
      </c>
      <c r="F71" s="4" t="s">
        <v>44</v>
      </c>
      <c r="G71" s="4" t="s">
        <v>36</v>
      </c>
      <c r="H71" s="4" t="s">
        <v>81</v>
      </c>
      <c r="I71" s="4" t="s">
        <v>71</v>
      </c>
      <c r="J71" s="5">
        <v>9</v>
      </c>
      <c r="K71" s="5">
        <v>2814.48</v>
      </c>
      <c r="L71" s="5">
        <v>25330.32</v>
      </c>
      <c r="M71" s="5">
        <v>15704.8</v>
      </c>
      <c r="N71" s="5">
        <v>9625.52</v>
      </c>
    </row>
    <row r="72" spans="1:14">
      <c r="A72" s="2">
        <v>45470.416666666657</v>
      </c>
      <c r="B72" s="3">
        <v>2024</v>
      </c>
      <c r="C72" s="4" t="s">
        <v>76</v>
      </c>
      <c r="D72" s="4">
        <v>6</v>
      </c>
      <c r="E72" s="4" t="s">
        <v>19</v>
      </c>
      <c r="F72" s="4" t="s">
        <v>40</v>
      </c>
      <c r="G72" s="4" t="s">
        <v>35</v>
      </c>
      <c r="H72" s="4" t="s">
        <v>64</v>
      </c>
      <c r="I72" s="4" t="s">
        <v>68</v>
      </c>
      <c r="J72" s="5">
        <v>5</v>
      </c>
      <c r="K72" s="5">
        <v>84.31</v>
      </c>
      <c r="L72" s="5">
        <v>421.55</v>
      </c>
      <c r="M72" s="5">
        <v>261.36</v>
      </c>
      <c r="N72" s="5">
        <v>160.19</v>
      </c>
    </row>
    <row r="73" spans="1:14">
      <c r="A73" s="2">
        <v>45835.416666666657</v>
      </c>
      <c r="B73" s="3">
        <v>2025</v>
      </c>
      <c r="C73" s="4" t="s">
        <v>76</v>
      </c>
      <c r="D73" s="4">
        <v>6</v>
      </c>
      <c r="E73" s="4" t="s">
        <v>19</v>
      </c>
      <c r="F73" s="4" t="s">
        <v>43</v>
      </c>
      <c r="G73" s="4" t="s">
        <v>36</v>
      </c>
      <c r="H73" s="4" t="s">
        <v>75</v>
      </c>
      <c r="I73" s="4" t="s">
        <v>63</v>
      </c>
      <c r="J73" s="5">
        <v>23</v>
      </c>
      <c r="K73" s="5">
        <v>300.05</v>
      </c>
      <c r="L73" s="5">
        <v>6901.15</v>
      </c>
      <c r="M73" s="5">
        <v>4278.71</v>
      </c>
      <c r="N73" s="5">
        <v>2622.44</v>
      </c>
    </row>
    <row r="74" spans="1:14">
      <c r="A74" s="2">
        <v>44755.416666666657</v>
      </c>
      <c r="B74" s="3">
        <v>2022</v>
      </c>
      <c r="C74" s="4" t="s">
        <v>80</v>
      </c>
      <c r="D74" s="4">
        <v>7</v>
      </c>
      <c r="E74" s="4" t="s">
        <v>21</v>
      </c>
      <c r="F74" s="4" t="s">
        <v>41</v>
      </c>
      <c r="G74" s="4" t="s">
        <v>35</v>
      </c>
      <c r="H74" s="4" t="s">
        <v>92</v>
      </c>
      <c r="I74" s="4" t="s">
        <v>63</v>
      </c>
      <c r="J74" s="5">
        <v>4</v>
      </c>
      <c r="K74" s="5">
        <v>33.29</v>
      </c>
      <c r="L74" s="5">
        <v>133.16</v>
      </c>
      <c r="M74" s="5">
        <v>82.56</v>
      </c>
      <c r="N74" s="5">
        <v>50.6</v>
      </c>
    </row>
    <row r="75" spans="1:14">
      <c r="A75" s="2">
        <v>45126.416666666657</v>
      </c>
      <c r="B75" s="3">
        <v>2023</v>
      </c>
      <c r="C75" s="4" t="s">
        <v>80</v>
      </c>
      <c r="D75" s="4">
        <v>7</v>
      </c>
      <c r="E75" s="4" t="s">
        <v>21</v>
      </c>
      <c r="F75" s="4" t="s">
        <v>40</v>
      </c>
      <c r="G75" s="4" t="s">
        <v>38</v>
      </c>
      <c r="H75" s="4" t="s">
        <v>88</v>
      </c>
      <c r="I75" s="4" t="s">
        <v>86</v>
      </c>
      <c r="J75" s="5">
        <v>19</v>
      </c>
      <c r="K75" s="5">
        <v>184.7</v>
      </c>
      <c r="L75" s="5">
        <v>3509.3</v>
      </c>
      <c r="M75" s="5">
        <v>2175.77</v>
      </c>
      <c r="N75" s="5">
        <v>1333.53</v>
      </c>
    </row>
    <row r="76" spans="1:14">
      <c r="A76" s="2">
        <v>45475.416666666657</v>
      </c>
      <c r="B76" s="3">
        <v>2024</v>
      </c>
      <c r="C76" s="4" t="s">
        <v>80</v>
      </c>
      <c r="D76" s="4">
        <v>7</v>
      </c>
      <c r="E76" s="4" t="s">
        <v>21</v>
      </c>
      <c r="F76" s="4" t="s">
        <v>43</v>
      </c>
      <c r="G76" s="4" t="s">
        <v>39</v>
      </c>
      <c r="H76" s="4" t="s">
        <v>78</v>
      </c>
      <c r="I76" s="4" t="s">
        <v>61</v>
      </c>
      <c r="J76" s="5">
        <v>25</v>
      </c>
      <c r="K76" s="5">
        <v>1558.65</v>
      </c>
      <c r="L76" s="5">
        <v>38966.25</v>
      </c>
      <c r="M76" s="5">
        <v>24159.08</v>
      </c>
      <c r="N76" s="5">
        <v>14807.17</v>
      </c>
    </row>
    <row r="77" spans="1:14">
      <c r="A77" s="2">
        <v>45859.416666666657</v>
      </c>
      <c r="B77" s="3">
        <v>2025</v>
      </c>
      <c r="C77" s="4" t="s">
        <v>80</v>
      </c>
      <c r="D77" s="4">
        <v>7</v>
      </c>
      <c r="E77" s="4" t="s">
        <v>21</v>
      </c>
      <c r="F77" s="4" t="s">
        <v>40</v>
      </c>
      <c r="G77" s="4" t="s">
        <v>39</v>
      </c>
      <c r="H77" s="4" t="s">
        <v>82</v>
      </c>
      <c r="I77" s="4" t="s">
        <v>65</v>
      </c>
      <c r="J77" s="5">
        <v>6</v>
      </c>
      <c r="K77" s="5">
        <v>450.99</v>
      </c>
      <c r="L77" s="5">
        <v>2705.94</v>
      </c>
      <c r="M77" s="5">
        <v>1677.68</v>
      </c>
      <c r="N77" s="5">
        <v>1028.26</v>
      </c>
    </row>
    <row r="78" spans="1:14">
      <c r="A78" s="2">
        <v>44796.416666666657</v>
      </c>
      <c r="B78" s="3">
        <v>2022</v>
      </c>
      <c r="C78" s="4" t="s">
        <v>80</v>
      </c>
      <c r="D78" s="4">
        <v>8</v>
      </c>
      <c r="E78" s="4" t="s">
        <v>22</v>
      </c>
      <c r="F78" s="4" t="s">
        <v>40</v>
      </c>
      <c r="G78" s="4" t="s">
        <v>38</v>
      </c>
      <c r="H78" s="4" t="s">
        <v>72</v>
      </c>
      <c r="I78" s="4" t="s">
        <v>63</v>
      </c>
      <c r="J78" s="5">
        <v>12</v>
      </c>
      <c r="K78" s="5">
        <v>413.33</v>
      </c>
      <c r="L78" s="5">
        <v>4959.96</v>
      </c>
      <c r="M78" s="5">
        <v>3075.18</v>
      </c>
      <c r="N78" s="5">
        <v>1884.78</v>
      </c>
    </row>
    <row r="79" spans="1:14">
      <c r="A79" s="2">
        <v>45156.416666666657</v>
      </c>
      <c r="B79" s="3">
        <v>2023</v>
      </c>
      <c r="C79" s="4" t="s">
        <v>80</v>
      </c>
      <c r="D79" s="4">
        <v>8</v>
      </c>
      <c r="E79" s="4" t="s">
        <v>22</v>
      </c>
      <c r="F79" s="4" t="s">
        <v>42</v>
      </c>
      <c r="G79" s="4" t="s">
        <v>39</v>
      </c>
      <c r="H79" s="4" t="s">
        <v>82</v>
      </c>
      <c r="I79" s="4" t="s">
        <v>86</v>
      </c>
      <c r="J79" s="5">
        <v>8</v>
      </c>
      <c r="K79" s="5">
        <v>6030.91</v>
      </c>
      <c r="L79" s="5">
        <v>48247.28</v>
      </c>
      <c r="M79" s="5">
        <v>29913.31</v>
      </c>
      <c r="N79" s="5">
        <v>18333.97</v>
      </c>
    </row>
    <row r="80" spans="1:14">
      <c r="A80" s="2">
        <v>45521.416666666657</v>
      </c>
      <c r="B80" s="3">
        <v>2024</v>
      </c>
      <c r="C80" s="4" t="s">
        <v>80</v>
      </c>
      <c r="D80" s="4">
        <v>8</v>
      </c>
      <c r="E80" s="4" t="s">
        <v>22</v>
      </c>
      <c r="F80" s="4" t="s">
        <v>40</v>
      </c>
      <c r="G80" s="4" t="s">
        <v>37</v>
      </c>
      <c r="H80" s="4" t="s">
        <v>66</v>
      </c>
      <c r="I80" s="4" t="s">
        <v>65</v>
      </c>
      <c r="J80" s="5">
        <v>34</v>
      </c>
      <c r="K80" s="5">
        <v>376.7</v>
      </c>
      <c r="L80" s="5">
        <v>12807.8</v>
      </c>
      <c r="M80" s="5">
        <v>7940.84</v>
      </c>
      <c r="N80" s="5">
        <v>4866.96</v>
      </c>
    </row>
    <row r="81" spans="1:14">
      <c r="A81" s="2">
        <v>45880.416666666657</v>
      </c>
      <c r="B81" s="3">
        <v>2025</v>
      </c>
      <c r="C81" s="4" t="s">
        <v>80</v>
      </c>
      <c r="D81" s="4">
        <v>8</v>
      </c>
      <c r="E81" s="4" t="s">
        <v>22</v>
      </c>
      <c r="F81" s="4" t="s">
        <v>43</v>
      </c>
      <c r="G81" s="4" t="s">
        <v>36</v>
      </c>
      <c r="H81" s="4" t="s">
        <v>91</v>
      </c>
      <c r="I81" s="4" t="s">
        <v>61</v>
      </c>
      <c r="J81" s="5">
        <v>14</v>
      </c>
      <c r="K81" s="5">
        <v>369.35</v>
      </c>
      <c r="L81" s="5">
        <v>5170.8999999999996</v>
      </c>
      <c r="M81" s="5">
        <v>3205.96</v>
      </c>
      <c r="N81" s="5">
        <v>1964.94</v>
      </c>
    </row>
    <row r="82" spans="1:14">
      <c r="A82" s="2">
        <v>44812.416666666657</v>
      </c>
      <c r="B82" s="3">
        <v>2022</v>
      </c>
      <c r="C82" s="4" t="s">
        <v>80</v>
      </c>
      <c r="D82" s="4">
        <v>9</v>
      </c>
      <c r="E82" s="4" t="s">
        <v>23</v>
      </c>
      <c r="F82" s="4" t="s">
        <v>43</v>
      </c>
      <c r="G82" s="4" t="s">
        <v>37</v>
      </c>
      <c r="H82" s="4" t="s">
        <v>84</v>
      </c>
      <c r="I82" s="4" t="s">
        <v>71</v>
      </c>
      <c r="J82" s="5">
        <v>19</v>
      </c>
      <c r="K82" s="5">
        <v>472.65</v>
      </c>
      <c r="L82" s="5">
        <v>8980.35</v>
      </c>
      <c r="M82" s="5">
        <v>5567.82</v>
      </c>
      <c r="N82" s="5">
        <v>3412.53</v>
      </c>
    </row>
    <row r="83" spans="1:14">
      <c r="A83" s="2">
        <v>45170.416666666657</v>
      </c>
      <c r="B83" s="3">
        <v>2023</v>
      </c>
      <c r="C83" s="4" t="s">
        <v>80</v>
      </c>
      <c r="D83" s="4">
        <v>9</v>
      </c>
      <c r="E83" s="4" t="s">
        <v>23</v>
      </c>
      <c r="F83" s="4" t="s">
        <v>43</v>
      </c>
      <c r="G83" s="4" t="s">
        <v>36</v>
      </c>
      <c r="H83" s="4" t="s">
        <v>67</v>
      </c>
      <c r="I83" s="4" t="s">
        <v>65</v>
      </c>
      <c r="J83" s="5">
        <v>7</v>
      </c>
      <c r="K83" s="5">
        <v>4460.87</v>
      </c>
      <c r="L83" s="5">
        <v>31226.09</v>
      </c>
      <c r="M83" s="5">
        <v>19360.18</v>
      </c>
      <c r="N83" s="5">
        <v>11865.91</v>
      </c>
    </row>
    <row r="84" spans="1:14">
      <c r="A84" s="2">
        <v>45548.416666666657</v>
      </c>
      <c r="B84" s="3">
        <v>2024</v>
      </c>
      <c r="C84" s="4" t="s">
        <v>80</v>
      </c>
      <c r="D84" s="4">
        <v>9</v>
      </c>
      <c r="E84" s="4" t="s">
        <v>23</v>
      </c>
      <c r="F84" s="4" t="s">
        <v>44</v>
      </c>
      <c r="G84" s="4" t="s">
        <v>39</v>
      </c>
      <c r="H84" s="4" t="s">
        <v>79</v>
      </c>
      <c r="I84" s="4" t="s">
        <v>86</v>
      </c>
      <c r="J84" s="5">
        <v>36</v>
      </c>
      <c r="K84" s="5">
        <v>2346.85</v>
      </c>
      <c r="L84" s="5">
        <v>84486.6</v>
      </c>
      <c r="M84" s="5">
        <v>52381.69</v>
      </c>
      <c r="N84" s="5">
        <v>32104.91</v>
      </c>
    </row>
    <row r="85" spans="1:14">
      <c r="A85" s="2">
        <v>45918.416666666657</v>
      </c>
      <c r="B85" s="3">
        <v>2025</v>
      </c>
      <c r="C85" s="4" t="s">
        <v>80</v>
      </c>
      <c r="D85" s="4">
        <v>9</v>
      </c>
      <c r="E85" s="4" t="s">
        <v>23</v>
      </c>
      <c r="F85" s="4" t="s">
        <v>43</v>
      </c>
      <c r="G85" s="4" t="s">
        <v>39</v>
      </c>
      <c r="H85" s="4" t="s">
        <v>82</v>
      </c>
      <c r="I85" s="4" t="s">
        <v>63</v>
      </c>
      <c r="J85" s="5">
        <v>19</v>
      </c>
      <c r="K85" s="5">
        <v>384.28</v>
      </c>
      <c r="L85" s="5">
        <v>7301.32</v>
      </c>
      <c r="M85" s="5">
        <v>4526.82</v>
      </c>
      <c r="N85" s="5">
        <v>2774.5</v>
      </c>
    </row>
    <row r="86" spans="1:14">
      <c r="A86" s="2">
        <v>44836.416666666657</v>
      </c>
      <c r="B86" s="3">
        <v>2022</v>
      </c>
      <c r="C86" s="4" t="s">
        <v>85</v>
      </c>
      <c r="D86" s="4">
        <v>10</v>
      </c>
      <c r="E86" s="4" t="s">
        <v>29</v>
      </c>
      <c r="F86" s="4" t="s">
        <v>42</v>
      </c>
      <c r="G86" s="4" t="s">
        <v>37</v>
      </c>
      <c r="H86" s="4" t="s">
        <v>66</v>
      </c>
      <c r="I86" s="4" t="s">
        <v>86</v>
      </c>
      <c r="J86" s="5">
        <v>24</v>
      </c>
      <c r="K86" s="5">
        <v>184.7</v>
      </c>
      <c r="L86" s="5">
        <v>4432.8</v>
      </c>
      <c r="M86" s="5">
        <v>2748.34</v>
      </c>
      <c r="N86" s="5">
        <v>1684.46</v>
      </c>
    </row>
    <row r="87" spans="1:14">
      <c r="A87" s="2">
        <v>45219.416666666657</v>
      </c>
      <c r="B87" s="3">
        <v>2023</v>
      </c>
      <c r="C87" s="4" t="s">
        <v>85</v>
      </c>
      <c r="D87" s="4">
        <v>10</v>
      </c>
      <c r="E87" s="4" t="s">
        <v>29</v>
      </c>
      <c r="F87" s="4" t="s">
        <v>44</v>
      </c>
      <c r="G87" s="4" t="s">
        <v>38</v>
      </c>
      <c r="H87" s="4" t="s">
        <v>88</v>
      </c>
      <c r="I87" s="4" t="s">
        <v>86</v>
      </c>
      <c r="J87" s="5">
        <v>30</v>
      </c>
      <c r="K87" s="5">
        <v>214.75</v>
      </c>
      <c r="L87" s="5">
        <v>6442.5</v>
      </c>
      <c r="M87" s="5">
        <v>3994.35</v>
      </c>
      <c r="N87" s="5">
        <v>2448.15</v>
      </c>
    </row>
    <row r="88" spans="1:14">
      <c r="A88" s="2">
        <v>45584.416666666657</v>
      </c>
      <c r="B88" s="3">
        <v>2024</v>
      </c>
      <c r="C88" s="4" t="s">
        <v>85</v>
      </c>
      <c r="D88" s="4">
        <v>10</v>
      </c>
      <c r="E88" s="4" t="s">
        <v>29</v>
      </c>
      <c r="F88" s="4" t="s">
        <v>43</v>
      </c>
      <c r="G88" s="4" t="s">
        <v>36</v>
      </c>
      <c r="H88" s="4" t="s">
        <v>81</v>
      </c>
      <c r="I88" s="4" t="s">
        <v>61</v>
      </c>
      <c r="J88" s="5">
        <v>10</v>
      </c>
      <c r="K88" s="5">
        <v>4201.96</v>
      </c>
      <c r="L88" s="5">
        <v>42019.6</v>
      </c>
      <c r="M88" s="5">
        <v>26052.15</v>
      </c>
      <c r="N88" s="5">
        <v>15967.45</v>
      </c>
    </row>
    <row r="89" spans="1:14">
      <c r="A89" s="2">
        <v>45935.416666666657</v>
      </c>
      <c r="B89" s="3">
        <v>2025</v>
      </c>
      <c r="C89" s="4" t="s">
        <v>85</v>
      </c>
      <c r="D89" s="4">
        <v>10</v>
      </c>
      <c r="E89" s="4" t="s">
        <v>29</v>
      </c>
      <c r="F89" s="4" t="s">
        <v>44</v>
      </c>
      <c r="G89" s="4" t="s">
        <v>39</v>
      </c>
      <c r="H89" s="4" t="s">
        <v>78</v>
      </c>
      <c r="I89" s="4" t="s">
        <v>63</v>
      </c>
      <c r="J89" s="5">
        <v>5</v>
      </c>
      <c r="K89" s="5">
        <v>1561.25</v>
      </c>
      <c r="L89" s="5">
        <v>7806.25</v>
      </c>
      <c r="M89" s="5">
        <v>4839.88</v>
      </c>
      <c r="N89" s="5">
        <v>2966.37</v>
      </c>
    </row>
    <row r="90" spans="1:14">
      <c r="A90" s="2">
        <v>44881.416666666657</v>
      </c>
      <c r="B90" s="3">
        <v>2022</v>
      </c>
      <c r="C90" s="4" t="s">
        <v>85</v>
      </c>
      <c r="D90" s="4">
        <v>11</v>
      </c>
      <c r="E90" s="4" t="s">
        <v>30</v>
      </c>
      <c r="F90" s="4" t="s">
        <v>43</v>
      </c>
      <c r="G90" s="4" t="s">
        <v>39</v>
      </c>
      <c r="H90" s="4" t="s">
        <v>82</v>
      </c>
      <c r="I90" s="4" t="s">
        <v>63</v>
      </c>
      <c r="J90" s="5">
        <v>14</v>
      </c>
      <c r="K90" s="5">
        <v>6426.21</v>
      </c>
      <c r="L90" s="5">
        <v>89966.94</v>
      </c>
      <c r="M90" s="5">
        <v>55779.5</v>
      </c>
      <c r="N90" s="5">
        <v>34187.440000000002</v>
      </c>
    </row>
    <row r="91" spans="1:14">
      <c r="A91" s="2">
        <v>45242.416666666657</v>
      </c>
      <c r="B91" s="3">
        <v>2023</v>
      </c>
      <c r="C91" s="4" t="s">
        <v>85</v>
      </c>
      <c r="D91" s="4">
        <v>11</v>
      </c>
      <c r="E91" s="4" t="s">
        <v>30</v>
      </c>
      <c r="F91" s="4" t="s">
        <v>40</v>
      </c>
      <c r="G91" s="4" t="s">
        <v>37</v>
      </c>
      <c r="H91" s="4" t="s">
        <v>62</v>
      </c>
      <c r="I91" s="4" t="s">
        <v>61</v>
      </c>
      <c r="J91" s="5">
        <v>9</v>
      </c>
      <c r="K91" s="5">
        <v>476.81</v>
      </c>
      <c r="L91" s="5">
        <v>4291.29</v>
      </c>
      <c r="M91" s="5">
        <v>2660.6</v>
      </c>
      <c r="N91" s="5">
        <v>1630.69</v>
      </c>
    </row>
    <row r="92" spans="1:14">
      <c r="A92" s="2">
        <v>45620.416666666657</v>
      </c>
      <c r="B92" s="3">
        <v>2024</v>
      </c>
      <c r="C92" s="4" t="s">
        <v>85</v>
      </c>
      <c r="D92" s="4">
        <v>11</v>
      </c>
      <c r="E92" s="4" t="s">
        <v>30</v>
      </c>
      <c r="F92" s="4" t="s">
        <v>41</v>
      </c>
      <c r="G92" s="4" t="s">
        <v>36</v>
      </c>
      <c r="H92" s="4" t="s">
        <v>81</v>
      </c>
      <c r="I92" s="4" t="s">
        <v>86</v>
      </c>
      <c r="J92" s="5">
        <v>10</v>
      </c>
      <c r="K92" s="5">
        <v>1857.5</v>
      </c>
      <c r="L92" s="5">
        <v>18575</v>
      </c>
      <c r="M92" s="5">
        <v>11516.5</v>
      </c>
      <c r="N92" s="5">
        <v>7058.5</v>
      </c>
    </row>
    <row r="93" spans="1:14">
      <c r="A93" s="2">
        <v>45980.416666666657</v>
      </c>
      <c r="B93" s="3">
        <v>2025</v>
      </c>
      <c r="C93" s="4" t="s">
        <v>85</v>
      </c>
      <c r="D93" s="4">
        <v>11</v>
      </c>
      <c r="E93" s="4" t="s">
        <v>30</v>
      </c>
      <c r="F93" s="4" t="s">
        <v>44</v>
      </c>
      <c r="G93" s="4" t="s">
        <v>38</v>
      </c>
      <c r="H93" s="4" t="s">
        <v>77</v>
      </c>
      <c r="I93" s="4" t="s">
        <v>86</v>
      </c>
      <c r="J93" s="5">
        <v>13</v>
      </c>
      <c r="K93" s="5">
        <v>330.87</v>
      </c>
      <c r="L93" s="5">
        <v>4301.3100000000004</v>
      </c>
      <c r="M93" s="5">
        <v>2666.81</v>
      </c>
      <c r="N93" s="5">
        <v>1634.5</v>
      </c>
    </row>
    <row r="94" spans="1:14">
      <c r="A94" s="2">
        <v>44899.416666666657</v>
      </c>
      <c r="B94" s="3">
        <v>2022</v>
      </c>
      <c r="C94" s="4" t="s">
        <v>85</v>
      </c>
      <c r="D94" s="4">
        <v>12</v>
      </c>
      <c r="E94" s="4" t="s">
        <v>31</v>
      </c>
      <c r="F94" s="4" t="s">
        <v>42</v>
      </c>
      <c r="G94" s="4" t="s">
        <v>36</v>
      </c>
      <c r="H94" s="4" t="s">
        <v>73</v>
      </c>
      <c r="I94" s="4" t="s">
        <v>68</v>
      </c>
      <c r="J94" s="5">
        <v>11</v>
      </c>
      <c r="K94" s="5">
        <v>1779.94</v>
      </c>
      <c r="L94" s="5">
        <v>19579.34</v>
      </c>
      <c r="M94" s="5">
        <v>12139.19</v>
      </c>
      <c r="N94" s="5">
        <v>7440.15</v>
      </c>
    </row>
    <row r="95" spans="1:14">
      <c r="A95" s="2">
        <v>45279.416666666657</v>
      </c>
      <c r="B95" s="3">
        <v>2023</v>
      </c>
      <c r="C95" s="4" t="s">
        <v>85</v>
      </c>
      <c r="D95" s="4">
        <v>12</v>
      </c>
      <c r="E95" s="4" t="s">
        <v>31</v>
      </c>
      <c r="F95" s="4" t="s">
        <v>42</v>
      </c>
      <c r="G95" s="4" t="s">
        <v>38</v>
      </c>
      <c r="H95" s="4" t="s">
        <v>77</v>
      </c>
      <c r="I95" s="4" t="s">
        <v>65</v>
      </c>
      <c r="J95" s="5">
        <v>38</v>
      </c>
      <c r="K95" s="5">
        <v>354.26</v>
      </c>
      <c r="L95" s="5">
        <v>13461.88</v>
      </c>
      <c r="M95" s="5">
        <v>8346.3700000000008</v>
      </c>
      <c r="N95" s="5">
        <v>5115.51</v>
      </c>
    </row>
    <row r="96" spans="1:14">
      <c r="A96" s="2">
        <v>45635.416666666657</v>
      </c>
      <c r="B96" s="3">
        <v>2024</v>
      </c>
      <c r="C96" s="4" t="s">
        <v>85</v>
      </c>
      <c r="D96" s="4">
        <v>12</v>
      </c>
      <c r="E96" s="4" t="s">
        <v>31</v>
      </c>
      <c r="F96" s="4" t="s">
        <v>41</v>
      </c>
      <c r="G96" s="4" t="s">
        <v>36</v>
      </c>
      <c r="H96" s="4" t="s">
        <v>67</v>
      </c>
      <c r="I96" s="4" t="s">
        <v>71</v>
      </c>
      <c r="J96" s="5">
        <v>5</v>
      </c>
      <c r="K96" s="5">
        <v>2854.25</v>
      </c>
      <c r="L96" s="5">
        <v>14271.25</v>
      </c>
      <c r="M96" s="5">
        <v>8848.17</v>
      </c>
      <c r="N96" s="5">
        <v>5423.08</v>
      </c>
    </row>
    <row r="97" spans="1:14">
      <c r="A97" s="2">
        <v>45996.416666666657</v>
      </c>
      <c r="B97" s="3">
        <v>2025</v>
      </c>
      <c r="C97" s="4" t="s">
        <v>85</v>
      </c>
      <c r="D97" s="4">
        <v>12</v>
      </c>
      <c r="E97" s="4" t="s">
        <v>31</v>
      </c>
      <c r="F97" s="4" t="s">
        <v>43</v>
      </c>
      <c r="G97" s="4" t="s">
        <v>36</v>
      </c>
      <c r="H97" s="4" t="s">
        <v>73</v>
      </c>
      <c r="I97" s="4" t="s">
        <v>68</v>
      </c>
      <c r="J97" s="5">
        <v>26</v>
      </c>
      <c r="K97" s="5">
        <v>4133.6899999999996</v>
      </c>
      <c r="L97" s="5">
        <v>107475.94</v>
      </c>
      <c r="M97" s="5">
        <v>66635.08</v>
      </c>
      <c r="N97" s="5">
        <v>40840.86</v>
      </c>
    </row>
    <row r="98" spans="1:14">
      <c r="A98" s="2">
        <v>44577.416666666657</v>
      </c>
      <c r="B98" s="3">
        <v>2022</v>
      </c>
      <c r="C98" s="4" t="s">
        <v>59</v>
      </c>
      <c r="D98" s="4">
        <v>1</v>
      </c>
      <c r="E98" s="4" t="s">
        <v>1</v>
      </c>
      <c r="F98" s="4" t="s">
        <v>42</v>
      </c>
      <c r="G98" s="4" t="s">
        <v>38</v>
      </c>
      <c r="H98" s="4" t="s">
        <v>83</v>
      </c>
      <c r="I98" s="4" t="s">
        <v>86</v>
      </c>
      <c r="J98" s="5">
        <v>26</v>
      </c>
      <c r="K98" s="5">
        <v>398.3</v>
      </c>
      <c r="L98" s="5">
        <v>10355.799999999999</v>
      </c>
      <c r="M98" s="5">
        <v>6420.6</v>
      </c>
      <c r="N98" s="5">
        <v>3935.2</v>
      </c>
    </row>
    <row r="99" spans="1:14">
      <c r="A99" s="2">
        <v>44949.416666666657</v>
      </c>
      <c r="B99" s="3">
        <v>2023</v>
      </c>
      <c r="C99" s="4" t="s">
        <v>59</v>
      </c>
      <c r="D99" s="4">
        <v>1</v>
      </c>
      <c r="E99" s="4" t="s">
        <v>1</v>
      </c>
      <c r="F99" s="4" t="s">
        <v>41</v>
      </c>
      <c r="G99" s="4" t="s">
        <v>37</v>
      </c>
      <c r="H99" s="4" t="s">
        <v>87</v>
      </c>
      <c r="I99" s="4" t="s">
        <v>65</v>
      </c>
      <c r="J99" s="5">
        <v>12</v>
      </c>
      <c r="K99" s="5">
        <v>57.15</v>
      </c>
      <c r="L99" s="5">
        <v>685.8</v>
      </c>
      <c r="M99" s="5">
        <v>425.2</v>
      </c>
      <c r="N99" s="5">
        <v>260.60000000000002</v>
      </c>
    </row>
    <row r="100" spans="1:14">
      <c r="A100" s="2">
        <v>45297.416666666657</v>
      </c>
      <c r="B100" s="3">
        <v>2024</v>
      </c>
      <c r="C100" s="4" t="s">
        <v>59</v>
      </c>
      <c r="D100" s="4">
        <v>1</v>
      </c>
      <c r="E100" s="4" t="s">
        <v>1</v>
      </c>
      <c r="F100" s="4" t="s">
        <v>41</v>
      </c>
      <c r="G100" s="4" t="s">
        <v>36</v>
      </c>
      <c r="H100" s="4" t="s">
        <v>67</v>
      </c>
      <c r="I100" s="4" t="s">
        <v>86</v>
      </c>
      <c r="J100" s="5">
        <v>12</v>
      </c>
      <c r="K100" s="5">
        <v>2438.11</v>
      </c>
      <c r="L100" s="5">
        <v>29257.32</v>
      </c>
      <c r="M100" s="5">
        <v>18139.54</v>
      </c>
      <c r="N100" s="5">
        <v>11117.78</v>
      </c>
    </row>
    <row r="101" spans="1:14">
      <c r="A101" s="2">
        <v>45681.416666666657</v>
      </c>
      <c r="B101" s="3">
        <v>2025</v>
      </c>
      <c r="C101" s="4" t="s">
        <v>59</v>
      </c>
      <c r="D101" s="4">
        <v>1</v>
      </c>
      <c r="E101" s="4" t="s">
        <v>1</v>
      </c>
      <c r="F101" s="4" t="s">
        <v>44</v>
      </c>
      <c r="G101" s="4" t="s">
        <v>35</v>
      </c>
      <c r="H101" s="4" t="s">
        <v>64</v>
      </c>
      <c r="I101" s="4" t="s">
        <v>68</v>
      </c>
      <c r="J101" s="5">
        <v>6</v>
      </c>
      <c r="K101" s="5">
        <v>117.53</v>
      </c>
      <c r="L101" s="5">
        <v>705.18</v>
      </c>
      <c r="M101" s="5">
        <v>437.21</v>
      </c>
      <c r="N101" s="5">
        <v>267.97000000000003</v>
      </c>
    </row>
    <row r="102" spans="1:14">
      <c r="A102" s="2">
        <v>44615.416666666657</v>
      </c>
      <c r="B102" s="3">
        <v>2022</v>
      </c>
      <c r="C102" s="4" t="s">
        <v>59</v>
      </c>
      <c r="D102" s="4">
        <v>2</v>
      </c>
      <c r="E102" s="4" t="s">
        <v>2</v>
      </c>
      <c r="F102" s="4" t="s">
        <v>41</v>
      </c>
      <c r="G102" s="4" t="s">
        <v>37</v>
      </c>
      <c r="H102" s="4" t="s">
        <v>66</v>
      </c>
      <c r="I102" s="4" t="s">
        <v>65</v>
      </c>
      <c r="J102" s="5">
        <v>4</v>
      </c>
      <c r="K102" s="5">
        <v>181.84</v>
      </c>
      <c r="L102" s="5">
        <v>727.36</v>
      </c>
      <c r="M102" s="5">
        <v>450.96</v>
      </c>
      <c r="N102" s="5">
        <v>276.39999999999998</v>
      </c>
    </row>
    <row r="103" spans="1:14">
      <c r="A103" s="2">
        <v>44963.416666666657</v>
      </c>
      <c r="B103" s="3">
        <v>2023</v>
      </c>
      <c r="C103" s="4" t="s">
        <v>59</v>
      </c>
      <c r="D103" s="4">
        <v>2</v>
      </c>
      <c r="E103" s="4" t="s">
        <v>2</v>
      </c>
      <c r="F103" s="4" t="s">
        <v>42</v>
      </c>
      <c r="G103" s="4" t="s">
        <v>35</v>
      </c>
      <c r="H103" s="4" t="s">
        <v>90</v>
      </c>
      <c r="I103" s="4" t="s">
        <v>71</v>
      </c>
      <c r="J103" s="5">
        <v>6</v>
      </c>
      <c r="K103" s="5">
        <v>56.66</v>
      </c>
      <c r="L103" s="5">
        <v>339.96</v>
      </c>
      <c r="M103" s="5">
        <v>210.78</v>
      </c>
      <c r="N103" s="5">
        <v>129.18</v>
      </c>
    </row>
    <row r="104" spans="1:14">
      <c r="A104" s="2">
        <v>45340.416666666657</v>
      </c>
      <c r="B104" s="3">
        <v>2024</v>
      </c>
      <c r="C104" s="4" t="s">
        <v>59</v>
      </c>
      <c r="D104" s="4">
        <v>2</v>
      </c>
      <c r="E104" s="4" t="s">
        <v>2</v>
      </c>
      <c r="F104" s="4" t="s">
        <v>43</v>
      </c>
      <c r="G104" s="4" t="s">
        <v>37</v>
      </c>
      <c r="H104" s="4" t="s">
        <v>62</v>
      </c>
      <c r="I104" s="4" t="s">
        <v>68</v>
      </c>
      <c r="J104" s="5">
        <v>33</v>
      </c>
      <c r="K104" s="5">
        <v>171.96</v>
      </c>
      <c r="L104" s="5">
        <v>5674.68</v>
      </c>
      <c r="M104" s="5">
        <v>3518.3</v>
      </c>
      <c r="N104" s="5">
        <v>2156.38</v>
      </c>
    </row>
    <row r="105" spans="1:14">
      <c r="A105" s="2">
        <v>45712.416666666657</v>
      </c>
      <c r="B105" s="3">
        <v>2025</v>
      </c>
      <c r="C105" s="4" t="s">
        <v>59</v>
      </c>
      <c r="D105" s="4">
        <v>2</v>
      </c>
      <c r="E105" s="4" t="s">
        <v>2</v>
      </c>
      <c r="F105" s="4" t="s">
        <v>41</v>
      </c>
      <c r="G105" s="4" t="s">
        <v>38</v>
      </c>
      <c r="H105" s="4" t="s">
        <v>77</v>
      </c>
      <c r="I105" s="4" t="s">
        <v>61</v>
      </c>
      <c r="J105" s="5">
        <v>18</v>
      </c>
      <c r="K105" s="5">
        <v>110.7</v>
      </c>
      <c r="L105" s="5">
        <v>1992.6</v>
      </c>
      <c r="M105" s="5">
        <v>1235.4100000000001</v>
      </c>
      <c r="N105" s="5">
        <v>757.19</v>
      </c>
    </row>
    <row r="106" spans="1:14">
      <c r="A106" s="2">
        <v>44639.416666666657</v>
      </c>
      <c r="B106" s="3">
        <v>2022</v>
      </c>
      <c r="C106" s="4" t="s">
        <v>59</v>
      </c>
      <c r="D106" s="4">
        <v>3</v>
      </c>
      <c r="E106" s="4" t="s">
        <v>13</v>
      </c>
      <c r="F106" s="4" t="s">
        <v>41</v>
      </c>
      <c r="G106" s="4" t="s">
        <v>39</v>
      </c>
      <c r="H106" s="4" t="s">
        <v>82</v>
      </c>
      <c r="I106" s="4" t="s">
        <v>86</v>
      </c>
      <c r="J106" s="5">
        <v>10</v>
      </c>
      <c r="K106" s="5">
        <v>619.54</v>
      </c>
      <c r="L106" s="5">
        <v>6195.4</v>
      </c>
      <c r="M106" s="5">
        <v>3841.15</v>
      </c>
      <c r="N106" s="5">
        <v>2354.25</v>
      </c>
    </row>
    <row r="107" spans="1:14">
      <c r="A107" s="2">
        <v>45001.416666666657</v>
      </c>
      <c r="B107" s="3">
        <v>2023</v>
      </c>
      <c r="C107" s="4" t="s">
        <v>59</v>
      </c>
      <c r="D107" s="4">
        <v>3</v>
      </c>
      <c r="E107" s="4" t="s">
        <v>13</v>
      </c>
      <c r="F107" s="4" t="s">
        <v>40</v>
      </c>
      <c r="G107" s="4" t="s">
        <v>38</v>
      </c>
      <c r="H107" s="4" t="s">
        <v>72</v>
      </c>
      <c r="I107" s="4" t="s">
        <v>65</v>
      </c>
      <c r="J107" s="5">
        <v>12</v>
      </c>
      <c r="K107" s="5">
        <v>263.72000000000003</v>
      </c>
      <c r="L107" s="5">
        <v>3164.64</v>
      </c>
      <c r="M107" s="5">
        <v>1962.08</v>
      </c>
      <c r="N107" s="5">
        <v>1202.56</v>
      </c>
    </row>
    <row r="108" spans="1:14">
      <c r="A108" s="2">
        <v>45369.416666666657</v>
      </c>
      <c r="B108" s="3">
        <v>2024</v>
      </c>
      <c r="C108" s="4" t="s">
        <v>59</v>
      </c>
      <c r="D108" s="4">
        <v>3</v>
      </c>
      <c r="E108" s="4" t="s">
        <v>13</v>
      </c>
      <c r="F108" s="4" t="s">
        <v>41</v>
      </c>
      <c r="G108" s="4" t="s">
        <v>38</v>
      </c>
      <c r="H108" s="4" t="s">
        <v>83</v>
      </c>
      <c r="I108" s="4" t="s">
        <v>63</v>
      </c>
      <c r="J108" s="5">
        <v>14</v>
      </c>
      <c r="K108" s="5">
        <v>181.38</v>
      </c>
      <c r="L108" s="5">
        <v>2539.3200000000002</v>
      </c>
      <c r="M108" s="5">
        <v>1574.38</v>
      </c>
      <c r="N108" s="5">
        <v>964.94</v>
      </c>
    </row>
    <row r="109" spans="1:14">
      <c r="A109" s="2">
        <v>45741.416666666657</v>
      </c>
      <c r="B109" s="3">
        <v>2025</v>
      </c>
      <c r="C109" s="4" t="s">
        <v>59</v>
      </c>
      <c r="D109" s="4">
        <v>3</v>
      </c>
      <c r="E109" s="4" t="s">
        <v>13</v>
      </c>
      <c r="F109" s="4" t="s">
        <v>44</v>
      </c>
      <c r="G109" s="4" t="s">
        <v>36</v>
      </c>
      <c r="H109" s="4" t="s">
        <v>81</v>
      </c>
      <c r="I109" s="4" t="s">
        <v>86</v>
      </c>
      <c r="J109" s="5">
        <v>17</v>
      </c>
      <c r="K109" s="5">
        <v>2940.09</v>
      </c>
      <c r="L109" s="5">
        <v>49981.53</v>
      </c>
      <c r="M109" s="5">
        <v>30988.55</v>
      </c>
      <c r="N109" s="5">
        <v>18992.98</v>
      </c>
    </row>
    <row r="110" spans="1:14">
      <c r="A110" s="2">
        <v>44665.416666666657</v>
      </c>
      <c r="B110" s="3">
        <v>2022</v>
      </c>
      <c r="C110" s="4" t="s">
        <v>76</v>
      </c>
      <c r="D110" s="4">
        <v>4</v>
      </c>
      <c r="E110" s="4" t="s">
        <v>17</v>
      </c>
      <c r="F110" s="4" t="s">
        <v>40</v>
      </c>
      <c r="G110" s="4" t="s">
        <v>37</v>
      </c>
      <c r="H110" s="4" t="s">
        <v>66</v>
      </c>
      <c r="I110" s="4" t="s">
        <v>86</v>
      </c>
      <c r="J110" s="5">
        <v>10</v>
      </c>
      <c r="K110" s="5">
        <v>501.95</v>
      </c>
      <c r="L110" s="5">
        <v>5019.5</v>
      </c>
      <c r="M110" s="5">
        <v>3112.09</v>
      </c>
      <c r="N110" s="5">
        <v>1907.41</v>
      </c>
    </row>
    <row r="111" spans="1:14">
      <c r="A111" s="2">
        <v>45024.416666666657</v>
      </c>
      <c r="B111" s="3">
        <v>2023</v>
      </c>
      <c r="C111" s="4" t="s">
        <v>76</v>
      </c>
      <c r="D111" s="4">
        <v>4</v>
      </c>
      <c r="E111" s="4" t="s">
        <v>17</v>
      </c>
      <c r="F111" s="4" t="s">
        <v>41</v>
      </c>
      <c r="G111" s="4" t="s">
        <v>37</v>
      </c>
      <c r="H111" s="4" t="s">
        <v>66</v>
      </c>
      <c r="I111" s="4" t="s">
        <v>71</v>
      </c>
      <c r="J111" s="5">
        <v>18</v>
      </c>
      <c r="K111" s="5">
        <v>358.8</v>
      </c>
      <c r="L111" s="5">
        <v>6458.4</v>
      </c>
      <c r="M111" s="5">
        <v>4004.21</v>
      </c>
      <c r="N111" s="5">
        <v>2454.19</v>
      </c>
    </row>
    <row r="112" spans="1:14">
      <c r="A112" s="2">
        <v>45405.416666666657</v>
      </c>
      <c r="B112" s="3">
        <v>2024</v>
      </c>
      <c r="C112" s="4" t="s">
        <v>76</v>
      </c>
      <c r="D112" s="4">
        <v>4</v>
      </c>
      <c r="E112" s="4" t="s">
        <v>17</v>
      </c>
      <c r="F112" s="4" t="s">
        <v>41</v>
      </c>
      <c r="G112" s="4" t="s">
        <v>38</v>
      </c>
      <c r="H112" s="4" t="s">
        <v>77</v>
      </c>
      <c r="I112" s="4" t="s">
        <v>65</v>
      </c>
      <c r="J112" s="5">
        <v>30</v>
      </c>
      <c r="K112" s="5">
        <v>356.77</v>
      </c>
      <c r="L112" s="5">
        <v>10703.1</v>
      </c>
      <c r="M112" s="5">
        <v>6635.92</v>
      </c>
      <c r="N112" s="5">
        <v>4067.18</v>
      </c>
    </row>
    <row r="113" spans="1:14">
      <c r="A113" s="2">
        <v>45773.416666666657</v>
      </c>
      <c r="B113" s="3">
        <v>2025</v>
      </c>
      <c r="C113" s="4" t="s">
        <v>76</v>
      </c>
      <c r="D113" s="4">
        <v>4</v>
      </c>
      <c r="E113" s="4" t="s">
        <v>17</v>
      </c>
      <c r="F113" s="4" t="s">
        <v>43</v>
      </c>
      <c r="G113" s="4" t="s">
        <v>36</v>
      </c>
      <c r="H113" s="4" t="s">
        <v>73</v>
      </c>
      <c r="I113" s="4" t="s">
        <v>86</v>
      </c>
      <c r="J113" s="5">
        <v>2</v>
      </c>
      <c r="K113" s="5">
        <v>2212.58</v>
      </c>
      <c r="L113" s="5">
        <v>4425.16</v>
      </c>
      <c r="M113" s="5">
        <v>2743.6</v>
      </c>
      <c r="N113" s="5">
        <v>1681.56</v>
      </c>
    </row>
    <row r="114" spans="1:14">
      <c r="A114" s="2">
        <v>44707.416666666657</v>
      </c>
      <c r="B114" s="3">
        <v>2022</v>
      </c>
      <c r="C114" s="4" t="s">
        <v>76</v>
      </c>
      <c r="D114" s="4">
        <v>5</v>
      </c>
      <c r="E114" s="4" t="s">
        <v>18</v>
      </c>
      <c r="F114" s="4" t="s">
        <v>41</v>
      </c>
      <c r="G114" s="4" t="s">
        <v>35</v>
      </c>
      <c r="H114" s="4" t="s">
        <v>70</v>
      </c>
      <c r="I114" s="4" t="s">
        <v>65</v>
      </c>
      <c r="J114" s="5">
        <v>1</v>
      </c>
      <c r="K114" s="5">
        <v>110.02</v>
      </c>
      <c r="L114" s="5">
        <v>110.02</v>
      </c>
      <c r="M114" s="5">
        <v>68.209999999999994</v>
      </c>
      <c r="N114" s="5">
        <v>41.81</v>
      </c>
    </row>
    <row r="115" spans="1:14">
      <c r="A115" s="2">
        <v>45068.416666666657</v>
      </c>
      <c r="B115" s="3">
        <v>2023</v>
      </c>
      <c r="C115" s="4" t="s">
        <v>76</v>
      </c>
      <c r="D115" s="4">
        <v>5</v>
      </c>
      <c r="E115" s="4" t="s">
        <v>18</v>
      </c>
      <c r="F115" s="4" t="s">
        <v>40</v>
      </c>
      <c r="G115" s="4" t="s">
        <v>36</v>
      </c>
      <c r="H115" s="4" t="s">
        <v>91</v>
      </c>
      <c r="I115" s="4" t="s">
        <v>86</v>
      </c>
      <c r="J115" s="5">
        <v>7</v>
      </c>
      <c r="K115" s="5">
        <v>1034.1500000000001</v>
      </c>
      <c r="L115" s="5">
        <v>7239.05</v>
      </c>
      <c r="M115" s="5">
        <v>4488.21</v>
      </c>
      <c r="N115" s="5">
        <v>2750.84</v>
      </c>
    </row>
    <row r="116" spans="1:14">
      <c r="A116" s="2">
        <v>45423.416666666657</v>
      </c>
      <c r="B116" s="3">
        <v>2024</v>
      </c>
      <c r="C116" s="4" t="s">
        <v>76</v>
      </c>
      <c r="D116" s="4">
        <v>5</v>
      </c>
      <c r="E116" s="4" t="s">
        <v>18</v>
      </c>
      <c r="F116" s="4" t="s">
        <v>43</v>
      </c>
      <c r="G116" s="4" t="s">
        <v>35</v>
      </c>
      <c r="H116" s="4" t="s">
        <v>90</v>
      </c>
      <c r="I116" s="4" t="s">
        <v>65</v>
      </c>
      <c r="J116" s="5">
        <v>16</v>
      </c>
      <c r="K116" s="5">
        <v>59.09</v>
      </c>
      <c r="L116" s="5">
        <v>945.44</v>
      </c>
      <c r="M116" s="5">
        <v>586.16999999999996</v>
      </c>
      <c r="N116" s="5">
        <v>359.27</v>
      </c>
    </row>
    <row r="117" spans="1:14">
      <c r="A117" s="2">
        <v>45804.416666666657</v>
      </c>
      <c r="B117" s="3">
        <v>2025</v>
      </c>
      <c r="C117" s="4" t="s">
        <v>76</v>
      </c>
      <c r="D117" s="4">
        <v>5</v>
      </c>
      <c r="E117" s="4" t="s">
        <v>18</v>
      </c>
      <c r="F117" s="4" t="s">
        <v>44</v>
      </c>
      <c r="G117" s="4" t="s">
        <v>39</v>
      </c>
      <c r="H117" s="4" t="s">
        <v>60</v>
      </c>
      <c r="I117" s="4" t="s">
        <v>65</v>
      </c>
      <c r="J117" s="5">
        <v>8</v>
      </c>
      <c r="K117" s="5">
        <v>1373.18</v>
      </c>
      <c r="L117" s="5">
        <v>10985.44</v>
      </c>
      <c r="M117" s="5">
        <v>6810.97</v>
      </c>
      <c r="N117" s="5">
        <v>4174.47</v>
      </c>
    </row>
    <row r="118" spans="1:14">
      <c r="A118" s="2">
        <v>44732.416666666657</v>
      </c>
      <c r="B118" s="3">
        <v>2022</v>
      </c>
      <c r="C118" s="4" t="s">
        <v>76</v>
      </c>
      <c r="D118" s="4">
        <v>6</v>
      </c>
      <c r="E118" s="4" t="s">
        <v>19</v>
      </c>
      <c r="F118" s="4" t="s">
        <v>41</v>
      </c>
      <c r="G118" s="4" t="s">
        <v>35</v>
      </c>
      <c r="H118" s="4" t="s">
        <v>90</v>
      </c>
      <c r="I118" s="4" t="s">
        <v>65</v>
      </c>
      <c r="J118" s="5">
        <v>13</v>
      </c>
      <c r="K118" s="5">
        <v>55.55</v>
      </c>
      <c r="L118" s="5">
        <v>722.15</v>
      </c>
      <c r="M118" s="5">
        <v>447.73</v>
      </c>
      <c r="N118" s="5">
        <v>274.42</v>
      </c>
    </row>
    <row r="119" spans="1:14">
      <c r="A119" s="2">
        <v>45091.416666666657</v>
      </c>
      <c r="B119" s="3">
        <v>2023</v>
      </c>
      <c r="C119" s="4" t="s">
        <v>76</v>
      </c>
      <c r="D119" s="4">
        <v>6</v>
      </c>
      <c r="E119" s="4" t="s">
        <v>19</v>
      </c>
      <c r="F119" s="4" t="s">
        <v>43</v>
      </c>
      <c r="G119" s="4" t="s">
        <v>37</v>
      </c>
      <c r="H119" s="4" t="s">
        <v>84</v>
      </c>
      <c r="I119" s="4" t="s">
        <v>61</v>
      </c>
      <c r="J119" s="5">
        <v>8</v>
      </c>
      <c r="K119" s="5">
        <v>267.68</v>
      </c>
      <c r="L119" s="5">
        <v>2141.44</v>
      </c>
      <c r="M119" s="5">
        <v>1327.69</v>
      </c>
      <c r="N119" s="5">
        <v>813.75</v>
      </c>
    </row>
    <row r="120" spans="1:14">
      <c r="A120" s="2">
        <v>45451.416666666657</v>
      </c>
      <c r="B120" s="3">
        <v>2024</v>
      </c>
      <c r="C120" s="4" t="s">
        <v>76</v>
      </c>
      <c r="D120" s="4">
        <v>6</v>
      </c>
      <c r="E120" s="4" t="s">
        <v>19</v>
      </c>
      <c r="F120" s="4" t="s">
        <v>41</v>
      </c>
      <c r="G120" s="4" t="s">
        <v>36</v>
      </c>
      <c r="H120" s="4" t="s">
        <v>81</v>
      </c>
      <c r="I120" s="4" t="s">
        <v>68</v>
      </c>
      <c r="J120" s="5">
        <v>4</v>
      </c>
      <c r="K120" s="5">
        <v>4563.0600000000004</v>
      </c>
      <c r="L120" s="5">
        <v>18252.240000000002</v>
      </c>
      <c r="M120" s="5">
        <v>11316.39</v>
      </c>
      <c r="N120" s="5">
        <v>6935.85</v>
      </c>
    </row>
    <row r="121" spans="1:14">
      <c r="A121" s="2">
        <v>45825.416666666657</v>
      </c>
      <c r="B121" s="3">
        <v>2025</v>
      </c>
      <c r="C121" s="4" t="s">
        <v>76</v>
      </c>
      <c r="D121" s="4">
        <v>6</v>
      </c>
      <c r="E121" s="4" t="s">
        <v>19</v>
      </c>
      <c r="F121" s="4" t="s">
        <v>41</v>
      </c>
      <c r="G121" s="4" t="s">
        <v>37</v>
      </c>
      <c r="H121" s="4" t="s">
        <v>93</v>
      </c>
      <c r="I121" s="4" t="s">
        <v>65</v>
      </c>
      <c r="J121" s="5">
        <v>3</v>
      </c>
      <c r="K121" s="5">
        <v>378.85</v>
      </c>
      <c r="L121" s="5">
        <v>1136.55</v>
      </c>
      <c r="M121" s="5">
        <v>704.66</v>
      </c>
      <c r="N121" s="5">
        <v>431.89</v>
      </c>
    </row>
    <row r="122" spans="1:14">
      <c r="A122" s="2">
        <v>44762.416666666657</v>
      </c>
      <c r="B122" s="3">
        <v>2022</v>
      </c>
      <c r="C122" s="4" t="s">
        <v>80</v>
      </c>
      <c r="D122" s="4">
        <v>7</v>
      </c>
      <c r="E122" s="4" t="s">
        <v>21</v>
      </c>
      <c r="F122" s="4" t="s">
        <v>40</v>
      </c>
      <c r="G122" s="4" t="s">
        <v>35</v>
      </c>
      <c r="H122" s="4" t="s">
        <v>70</v>
      </c>
      <c r="I122" s="4" t="s">
        <v>61</v>
      </c>
      <c r="J122" s="5">
        <v>2</v>
      </c>
      <c r="K122" s="5">
        <v>23.5</v>
      </c>
      <c r="L122" s="5">
        <v>47</v>
      </c>
      <c r="M122" s="5">
        <v>29.14</v>
      </c>
      <c r="N122" s="5">
        <v>17.86</v>
      </c>
    </row>
    <row r="123" spans="1:14">
      <c r="A123" s="2">
        <v>45115.416666666657</v>
      </c>
      <c r="B123" s="3">
        <v>2023</v>
      </c>
      <c r="C123" s="4" t="s">
        <v>80</v>
      </c>
      <c r="D123" s="4">
        <v>7</v>
      </c>
      <c r="E123" s="4" t="s">
        <v>21</v>
      </c>
      <c r="F123" s="4" t="s">
        <v>41</v>
      </c>
      <c r="G123" s="4" t="s">
        <v>37</v>
      </c>
      <c r="H123" s="4" t="s">
        <v>62</v>
      </c>
      <c r="I123" s="4" t="s">
        <v>68</v>
      </c>
      <c r="J123" s="5">
        <v>7</v>
      </c>
      <c r="K123" s="5">
        <v>294.89</v>
      </c>
      <c r="L123" s="5">
        <v>2064.23</v>
      </c>
      <c r="M123" s="5">
        <v>1279.82</v>
      </c>
      <c r="N123" s="5">
        <v>784.41</v>
      </c>
    </row>
    <row r="124" spans="1:14">
      <c r="A124" s="2">
        <v>45492.416666666657</v>
      </c>
      <c r="B124" s="3">
        <v>2024</v>
      </c>
      <c r="C124" s="4" t="s">
        <v>80</v>
      </c>
      <c r="D124" s="4">
        <v>7</v>
      </c>
      <c r="E124" s="4" t="s">
        <v>21</v>
      </c>
      <c r="F124" s="4" t="s">
        <v>43</v>
      </c>
      <c r="G124" s="4" t="s">
        <v>39</v>
      </c>
      <c r="H124" s="4" t="s">
        <v>79</v>
      </c>
      <c r="I124" s="4" t="s">
        <v>61</v>
      </c>
      <c r="J124" s="5">
        <v>15</v>
      </c>
      <c r="K124" s="5">
        <v>1481.58</v>
      </c>
      <c r="L124" s="5">
        <v>22223.7</v>
      </c>
      <c r="M124" s="5">
        <v>13778.69</v>
      </c>
      <c r="N124" s="5">
        <v>8445.01</v>
      </c>
    </row>
    <row r="125" spans="1:14">
      <c r="A125" s="2">
        <v>45846.416666666657</v>
      </c>
      <c r="B125" s="3">
        <v>2025</v>
      </c>
      <c r="C125" s="4" t="s">
        <v>80</v>
      </c>
      <c r="D125" s="4">
        <v>7</v>
      </c>
      <c r="E125" s="4" t="s">
        <v>21</v>
      </c>
      <c r="F125" s="4" t="s">
        <v>40</v>
      </c>
      <c r="G125" s="4" t="s">
        <v>38</v>
      </c>
      <c r="H125" s="4" t="s">
        <v>72</v>
      </c>
      <c r="I125" s="4" t="s">
        <v>65</v>
      </c>
      <c r="J125" s="5">
        <v>20</v>
      </c>
      <c r="K125" s="5">
        <v>282.8</v>
      </c>
      <c r="L125" s="5">
        <v>5656</v>
      </c>
      <c r="M125" s="5">
        <v>3506.72</v>
      </c>
      <c r="N125" s="5">
        <v>2149.2800000000002</v>
      </c>
    </row>
    <row r="126" spans="1:14">
      <c r="A126" s="2">
        <v>44784.416666666657</v>
      </c>
      <c r="B126" s="3">
        <v>2022</v>
      </c>
      <c r="C126" s="4" t="s">
        <v>80</v>
      </c>
      <c r="D126" s="4">
        <v>8</v>
      </c>
      <c r="E126" s="4" t="s">
        <v>22</v>
      </c>
      <c r="F126" s="4" t="s">
        <v>43</v>
      </c>
      <c r="G126" s="4" t="s">
        <v>36</v>
      </c>
      <c r="H126" s="4" t="s">
        <v>73</v>
      </c>
      <c r="I126" s="4" t="s">
        <v>63</v>
      </c>
      <c r="J126" s="5">
        <v>10</v>
      </c>
      <c r="K126" s="5">
        <v>1251.54</v>
      </c>
      <c r="L126" s="5">
        <v>12515.4</v>
      </c>
      <c r="M126" s="5">
        <v>7759.55</v>
      </c>
      <c r="N126" s="5">
        <v>4755.8500000000004</v>
      </c>
    </row>
    <row r="127" spans="1:14">
      <c r="A127" s="2">
        <v>45156.416666666657</v>
      </c>
      <c r="B127" s="3">
        <v>2023</v>
      </c>
      <c r="C127" s="4" t="s">
        <v>80</v>
      </c>
      <c r="D127" s="4">
        <v>8</v>
      </c>
      <c r="E127" s="4" t="s">
        <v>22</v>
      </c>
      <c r="F127" s="4" t="s">
        <v>44</v>
      </c>
      <c r="G127" s="4" t="s">
        <v>37</v>
      </c>
      <c r="H127" s="4" t="s">
        <v>93</v>
      </c>
      <c r="I127" s="4" t="s">
        <v>68</v>
      </c>
      <c r="J127" s="5">
        <v>8</v>
      </c>
      <c r="K127" s="5">
        <v>139.96</v>
      </c>
      <c r="L127" s="5">
        <v>1119.68</v>
      </c>
      <c r="M127" s="5">
        <v>694.2</v>
      </c>
      <c r="N127" s="5">
        <v>425.48</v>
      </c>
    </row>
    <row r="128" spans="1:14">
      <c r="A128" s="2">
        <v>45509.416666666657</v>
      </c>
      <c r="B128" s="3">
        <v>2024</v>
      </c>
      <c r="C128" s="4" t="s">
        <v>80</v>
      </c>
      <c r="D128" s="4">
        <v>8</v>
      </c>
      <c r="E128" s="4" t="s">
        <v>22</v>
      </c>
      <c r="F128" s="4" t="s">
        <v>43</v>
      </c>
      <c r="G128" s="4" t="s">
        <v>38</v>
      </c>
      <c r="H128" s="4" t="s">
        <v>77</v>
      </c>
      <c r="I128" s="4" t="s">
        <v>61</v>
      </c>
      <c r="J128" s="5">
        <v>7</v>
      </c>
      <c r="K128" s="5">
        <v>367.56</v>
      </c>
      <c r="L128" s="5">
        <v>2572.92</v>
      </c>
      <c r="M128" s="5">
        <v>1595.21</v>
      </c>
      <c r="N128" s="5">
        <v>977.71</v>
      </c>
    </row>
    <row r="129" spans="1:14">
      <c r="A129" s="2">
        <v>45878.416666666657</v>
      </c>
      <c r="B129" s="3">
        <v>2025</v>
      </c>
      <c r="C129" s="4" t="s">
        <v>80</v>
      </c>
      <c r="D129" s="4">
        <v>8</v>
      </c>
      <c r="E129" s="4" t="s">
        <v>22</v>
      </c>
      <c r="F129" s="4" t="s">
        <v>40</v>
      </c>
      <c r="G129" s="4" t="s">
        <v>38</v>
      </c>
      <c r="H129" s="4" t="s">
        <v>88</v>
      </c>
      <c r="I129" s="4" t="s">
        <v>65</v>
      </c>
      <c r="J129" s="5">
        <v>13</v>
      </c>
      <c r="K129" s="5">
        <v>334.07</v>
      </c>
      <c r="L129" s="5">
        <v>4342.91</v>
      </c>
      <c r="M129" s="5">
        <v>2692.6</v>
      </c>
      <c r="N129" s="5">
        <v>1650.31</v>
      </c>
    </row>
    <row r="130" spans="1:14">
      <c r="A130" s="2">
        <v>44824.416666666657</v>
      </c>
      <c r="B130" s="3">
        <v>2022</v>
      </c>
      <c r="C130" s="4" t="s">
        <v>80</v>
      </c>
      <c r="D130" s="4">
        <v>9</v>
      </c>
      <c r="E130" s="4" t="s">
        <v>23</v>
      </c>
      <c r="F130" s="4" t="s">
        <v>43</v>
      </c>
      <c r="G130" s="4" t="s">
        <v>38</v>
      </c>
      <c r="H130" s="4" t="s">
        <v>83</v>
      </c>
      <c r="I130" s="4" t="s">
        <v>71</v>
      </c>
      <c r="J130" s="5">
        <v>7</v>
      </c>
      <c r="K130" s="5">
        <v>141.41999999999999</v>
      </c>
      <c r="L130" s="5">
        <v>989.94</v>
      </c>
      <c r="M130" s="5">
        <v>613.76</v>
      </c>
      <c r="N130" s="5">
        <v>376.18</v>
      </c>
    </row>
    <row r="131" spans="1:14">
      <c r="A131" s="2">
        <v>45194.416666666657</v>
      </c>
      <c r="B131" s="3">
        <v>2023</v>
      </c>
      <c r="C131" s="4" t="s">
        <v>80</v>
      </c>
      <c r="D131" s="4">
        <v>9</v>
      </c>
      <c r="E131" s="4" t="s">
        <v>23</v>
      </c>
      <c r="F131" s="4" t="s">
        <v>41</v>
      </c>
      <c r="G131" s="4" t="s">
        <v>38</v>
      </c>
      <c r="H131" s="4" t="s">
        <v>72</v>
      </c>
      <c r="I131" s="4" t="s">
        <v>65</v>
      </c>
      <c r="J131" s="5">
        <v>5</v>
      </c>
      <c r="K131" s="5">
        <v>361.14</v>
      </c>
      <c r="L131" s="5">
        <v>1805.7</v>
      </c>
      <c r="M131" s="5">
        <v>1119.53</v>
      </c>
      <c r="N131" s="5">
        <v>686.17</v>
      </c>
    </row>
    <row r="132" spans="1:14">
      <c r="A132" s="2">
        <v>45542.416666666657</v>
      </c>
      <c r="B132" s="3">
        <v>2024</v>
      </c>
      <c r="C132" s="4" t="s">
        <v>80</v>
      </c>
      <c r="D132" s="4">
        <v>9</v>
      </c>
      <c r="E132" s="4" t="s">
        <v>23</v>
      </c>
      <c r="F132" s="4" t="s">
        <v>44</v>
      </c>
      <c r="G132" s="4" t="s">
        <v>37</v>
      </c>
      <c r="H132" s="4" t="s">
        <v>62</v>
      </c>
      <c r="I132" s="4" t="s">
        <v>61</v>
      </c>
      <c r="J132" s="5">
        <v>8</v>
      </c>
      <c r="K132" s="5">
        <v>316.69</v>
      </c>
      <c r="L132" s="5">
        <v>2533.52</v>
      </c>
      <c r="M132" s="5">
        <v>1570.78</v>
      </c>
      <c r="N132" s="5">
        <v>962.74</v>
      </c>
    </row>
    <row r="133" spans="1:14">
      <c r="A133" s="2">
        <v>45901.416666666657</v>
      </c>
      <c r="B133" s="3">
        <v>2025</v>
      </c>
      <c r="C133" s="4" t="s">
        <v>80</v>
      </c>
      <c r="D133" s="4">
        <v>9</v>
      </c>
      <c r="E133" s="4" t="s">
        <v>23</v>
      </c>
      <c r="F133" s="4" t="s">
        <v>41</v>
      </c>
      <c r="G133" s="4" t="s">
        <v>38</v>
      </c>
      <c r="H133" s="4" t="s">
        <v>77</v>
      </c>
      <c r="I133" s="4" t="s">
        <v>61</v>
      </c>
      <c r="J133" s="5">
        <v>29</v>
      </c>
      <c r="K133" s="5">
        <v>214.94</v>
      </c>
      <c r="L133" s="5">
        <v>6233.26</v>
      </c>
      <c r="M133" s="5">
        <v>3864.62</v>
      </c>
      <c r="N133" s="5">
        <v>2368.64</v>
      </c>
    </row>
    <row r="134" spans="1:14">
      <c r="A134" s="2">
        <v>44841.416666666657</v>
      </c>
      <c r="B134" s="3">
        <v>2022</v>
      </c>
      <c r="C134" s="4" t="s">
        <v>85</v>
      </c>
      <c r="D134" s="4">
        <v>10</v>
      </c>
      <c r="E134" s="4" t="s">
        <v>29</v>
      </c>
      <c r="F134" s="4" t="s">
        <v>43</v>
      </c>
      <c r="G134" s="4" t="s">
        <v>38</v>
      </c>
      <c r="H134" s="4" t="s">
        <v>83</v>
      </c>
      <c r="I134" s="4" t="s">
        <v>71</v>
      </c>
      <c r="J134" s="5">
        <v>19</v>
      </c>
      <c r="K134" s="5">
        <v>156.26</v>
      </c>
      <c r="L134" s="5">
        <v>2968.94</v>
      </c>
      <c r="M134" s="5">
        <v>1840.74</v>
      </c>
      <c r="N134" s="5">
        <v>1128.2</v>
      </c>
    </row>
    <row r="135" spans="1:14">
      <c r="A135" s="2">
        <v>45211.416666666657</v>
      </c>
      <c r="B135" s="3">
        <v>2023</v>
      </c>
      <c r="C135" s="4" t="s">
        <v>85</v>
      </c>
      <c r="D135" s="4">
        <v>10</v>
      </c>
      <c r="E135" s="4" t="s">
        <v>29</v>
      </c>
      <c r="F135" s="4" t="s">
        <v>43</v>
      </c>
      <c r="G135" s="4" t="s">
        <v>35</v>
      </c>
      <c r="H135" s="4" t="s">
        <v>69</v>
      </c>
      <c r="I135" s="4" t="s">
        <v>61</v>
      </c>
      <c r="J135" s="5">
        <v>39</v>
      </c>
      <c r="K135" s="5">
        <v>138.47999999999999</v>
      </c>
      <c r="L135" s="5">
        <v>5400.72</v>
      </c>
      <c r="M135" s="5">
        <v>3348.45</v>
      </c>
      <c r="N135" s="5">
        <v>2052.27</v>
      </c>
    </row>
    <row r="136" spans="1:14">
      <c r="A136" s="2">
        <v>45593.416666666657</v>
      </c>
      <c r="B136" s="3">
        <v>2024</v>
      </c>
      <c r="C136" s="4" t="s">
        <v>85</v>
      </c>
      <c r="D136" s="4">
        <v>10</v>
      </c>
      <c r="E136" s="4" t="s">
        <v>29</v>
      </c>
      <c r="F136" s="4" t="s">
        <v>41</v>
      </c>
      <c r="G136" s="4" t="s">
        <v>38</v>
      </c>
      <c r="H136" s="4" t="s">
        <v>83</v>
      </c>
      <c r="I136" s="4" t="s">
        <v>68</v>
      </c>
      <c r="J136" s="5">
        <v>17</v>
      </c>
      <c r="K136" s="5">
        <v>247.94</v>
      </c>
      <c r="L136" s="5">
        <v>4214.9799999999996</v>
      </c>
      <c r="M136" s="5">
        <v>2613.29</v>
      </c>
      <c r="N136" s="5">
        <v>1601.69</v>
      </c>
    </row>
    <row r="137" spans="1:14">
      <c r="A137" s="2">
        <v>45931.416666666657</v>
      </c>
      <c r="B137" s="3">
        <v>2025</v>
      </c>
      <c r="C137" s="4" t="s">
        <v>85</v>
      </c>
      <c r="D137" s="4">
        <v>10</v>
      </c>
      <c r="E137" s="4" t="s">
        <v>29</v>
      </c>
      <c r="F137" s="4" t="s">
        <v>41</v>
      </c>
      <c r="G137" s="4" t="s">
        <v>37</v>
      </c>
      <c r="H137" s="4" t="s">
        <v>62</v>
      </c>
      <c r="I137" s="4" t="s">
        <v>65</v>
      </c>
      <c r="J137" s="5">
        <v>18</v>
      </c>
      <c r="K137" s="5">
        <v>282.22000000000003</v>
      </c>
      <c r="L137" s="5">
        <v>5079.96</v>
      </c>
      <c r="M137" s="5">
        <v>3149.58</v>
      </c>
      <c r="N137" s="5">
        <v>1930.38</v>
      </c>
    </row>
    <row r="138" spans="1:14">
      <c r="A138" s="2">
        <v>44866.416666666657</v>
      </c>
      <c r="B138" s="3">
        <v>2022</v>
      </c>
      <c r="C138" s="4" t="s">
        <v>85</v>
      </c>
      <c r="D138" s="4">
        <v>11</v>
      </c>
      <c r="E138" s="4" t="s">
        <v>30</v>
      </c>
      <c r="F138" s="4" t="s">
        <v>43</v>
      </c>
      <c r="G138" s="4" t="s">
        <v>36</v>
      </c>
      <c r="H138" s="4" t="s">
        <v>91</v>
      </c>
      <c r="I138" s="4" t="s">
        <v>86</v>
      </c>
      <c r="J138" s="5">
        <v>21</v>
      </c>
      <c r="K138" s="5">
        <v>1274.25</v>
      </c>
      <c r="L138" s="5">
        <v>26759.25</v>
      </c>
      <c r="M138" s="5">
        <v>16590.740000000002</v>
      </c>
      <c r="N138" s="5">
        <v>10168.51</v>
      </c>
    </row>
    <row r="139" spans="1:14">
      <c r="A139" s="2">
        <v>45252.416666666657</v>
      </c>
      <c r="B139" s="3">
        <v>2023</v>
      </c>
      <c r="C139" s="4" t="s">
        <v>85</v>
      </c>
      <c r="D139" s="4">
        <v>11</v>
      </c>
      <c r="E139" s="4" t="s">
        <v>30</v>
      </c>
      <c r="F139" s="4" t="s">
        <v>40</v>
      </c>
      <c r="G139" s="4" t="s">
        <v>35</v>
      </c>
      <c r="H139" s="4" t="s">
        <v>70</v>
      </c>
      <c r="I139" s="4" t="s">
        <v>65</v>
      </c>
      <c r="J139" s="5">
        <v>29</v>
      </c>
      <c r="K139" s="5">
        <v>58.79</v>
      </c>
      <c r="L139" s="5">
        <v>1704.91</v>
      </c>
      <c r="M139" s="5">
        <v>1057.04</v>
      </c>
      <c r="N139" s="5">
        <v>647.87</v>
      </c>
    </row>
    <row r="140" spans="1:14">
      <c r="A140" s="2">
        <v>45615.416666666657</v>
      </c>
      <c r="B140" s="3">
        <v>2024</v>
      </c>
      <c r="C140" s="4" t="s">
        <v>85</v>
      </c>
      <c r="D140" s="4">
        <v>11</v>
      </c>
      <c r="E140" s="4" t="s">
        <v>30</v>
      </c>
      <c r="F140" s="4" t="s">
        <v>43</v>
      </c>
      <c r="G140" s="4" t="s">
        <v>36</v>
      </c>
      <c r="H140" s="4" t="s">
        <v>73</v>
      </c>
      <c r="I140" s="4" t="s">
        <v>63</v>
      </c>
      <c r="J140" s="5">
        <v>13</v>
      </c>
      <c r="K140" s="5">
        <v>2579.4899999999998</v>
      </c>
      <c r="L140" s="5">
        <v>33533.370000000003</v>
      </c>
      <c r="M140" s="5">
        <v>20790.689999999999</v>
      </c>
      <c r="N140" s="5">
        <v>12742.68</v>
      </c>
    </row>
    <row r="141" spans="1:14">
      <c r="A141" s="2">
        <v>45966.416666666657</v>
      </c>
      <c r="B141" s="3">
        <v>2025</v>
      </c>
      <c r="C141" s="4" t="s">
        <v>85</v>
      </c>
      <c r="D141" s="4">
        <v>11</v>
      </c>
      <c r="E141" s="4" t="s">
        <v>30</v>
      </c>
      <c r="F141" s="4" t="s">
        <v>40</v>
      </c>
      <c r="G141" s="4" t="s">
        <v>37</v>
      </c>
      <c r="H141" s="4" t="s">
        <v>62</v>
      </c>
      <c r="I141" s="4" t="s">
        <v>68</v>
      </c>
      <c r="J141" s="5">
        <v>17</v>
      </c>
      <c r="K141" s="5">
        <v>92.82</v>
      </c>
      <c r="L141" s="5">
        <v>1577.94</v>
      </c>
      <c r="M141" s="5">
        <v>978.32</v>
      </c>
      <c r="N141" s="5">
        <v>599.62</v>
      </c>
    </row>
    <row r="142" spans="1:14">
      <c r="A142" s="2">
        <v>44914.416666666657</v>
      </c>
      <c r="B142" s="3">
        <v>2022</v>
      </c>
      <c r="C142" s="4" t="s">
        <v>85</v>
      </c>
      <c r="D142" s="4">
        <v>12</v>
      </c>
      <c r="E142" s="4" t="s">
        <v>31</v>
      </c>
      <c r="F142" s="4" t="s">
        <v>44</v>
      </c>
      <c r="G142" s="4" t="s">
        <v>39</v>
      </c>
      <c r="H142" s="4" t="s">
        <v>79</v>
      </c>
      <c r="I142" s="4" t="s">
        <v>65</v>
      </c>
      <c r="J142" s="5">
        <v>27</v>
      </c>
      <c r="K142" s="5">
        <v>3265.21</v>
      </c>
      <c r="L142" s="5">
        <v>88160.67</v>
      </c>
      <c r="M142" s="5">
        <v>54659.62</v>
      </c>
      <c r="N142" s="5">
        <v>33501.050000000003</v>
      </c>
    </row>
    <row r="143" spans="1:14">
      <c r="A143" s="2">
        <v>45270.416666666657</v>
      </c>
      <c r="B143" s="3">
        <v>2023</v>
      </c>
      <c r="C143" s="4" t="s">
        <v>85</v>
      </c>
      <c r="D143" s="4">
        <v>12</v>
      </c>
      <c r="E143" s="4" t="s">
        <v>31</v>
      </c>
      <c r="F143" s="4" t="s">
        <v>40</v>
      </c>
      <c r="G143" s="4" t="s">
        <v>39</v>
      </c>
      <c r="H143" s="4" t="s">
        <v>82</v>
      </c>
      <c r="I143" s="4" t="s">
        <v>71</v>
      </c>
      <c r="J143" s="5">
        <v>21</v>
      </c>
      <c r="K143" s="5">
        <v>2818.38</v>
      </c>
      <c r="L143" s="5">
        <v>59185.98</v>
      </c>
      <c r="M143" s="5">
        <v>36695.31</v>
      </c>
      <c r="N143" s="5">
        <v>22490.67</v>
      </c>
    </row>
    <row r="144" spans="1:14">
      <c r="A144" s="2">
        <v>45629.416666666657</v>
      </c>
      <c r="B144" s="3">
        <v>2024</v>
      </c>
      <c r="C144" s="4" t="s">
        <v>85</v>
      </c>
      <c r="D144" s="4">
        <v>12</v>
      </c>
      <c r="E144" s="4" t="s">
        <v>31</v>
      </c>
      <c r="F144" s="4" t="s">
        <v>41</v>
      </c>
      <c r="G144" s="4" t="s">
        <v>36</v>
      </c>
      <c r="H144" s="4" t="s">
        <v>73</v>
      </c>
      <c r="I144" s="4" t="s">
        <v>61</v>
      </c>
      <c r="J144" s="5">
        <v>64</v>
      </c>
      <c r="K144" s="5">
        <v>2627.51</v>
      </c>
      <c r="L144" s="5">
        <v>168160.64000000001</v>
      </c>
      <c r="M144" s="5">
        <v>104259.6</v>
      </c>
      <c r="N144" s="5">
        <v>63901.04</v>
      </c>
    </row>
    <row r="145" spans="1:14">
      <c r="A145" s="2">
        <v>45997.416666666657</v>
      </c>
      <c r="B145" s="3">
        <v>2025</v>
      </c>
      <c r="C145" s="4" t="s">
        <v>85</v>
      </c>
      <c r="D145" s="4">
        <v>12</v>
      </c>
      <c r="E145" s="4" t="s">
        <v>31</v>
      </c>
      <c r="F145" s="4" t="s">
        <v>44</v>
      </c>
      <c r="G145" s="4" t="s">
        <v>38</v>
      </c>
      <c r="H145" s="4" t="s">
        <v>83</v>
      </c>
      <c r="I145" s="4" t="s">
        <v>63</v>
      </c>
      <c r="J145" s="5">
        <v>29</v>
      </c>
      <c r="K145" s="5">
        <v>278.64999999999998</v>
      </c>
      <c r="L145" s="5">
        <v>8080.85</v>
      </c>
      <c r="M145" s="5">
        <v>5010.13</v>
      </c>
      <c r="N145" s="5">
        <v>3070.72</v>
      </c>
    </row>
    <row r="146" spans="1:14">
      <c r="A146" s="2">
        <v>44563.416666666657</v>
      </c>
      <c r="B146" s="3">
        <v>2022</v>
      </c>
      <c r="C146" s="4" t="s">
        <v>59</v>
      </c>
      <c r="D146" s="4">
        <v>1</v>
      </c>
      <c r="E146" s="4" t="s">
        <v>1</v>
      </c>
      <c r="F146" s="4" t="s">
        <v>44</v>
      </c>
      <c r="G146" s="4" t="s">
        <v>39</v>
      </c>
      <c r="H146" s="4" t="s">
        <v>78</v>
      </c>
      <c r="I146" s="4" t="s">
        <v>71</v>
      </c>
      <c r="J146" s="5">
        <v>4</v>
      </c>
      <c r="K146" s="5">
        <v>5801.8</v>
      </c>
      <c r="L146" s="5">
        <v>23207.200000000001</v>
      </c>
      <c r="M146" s="5">
        <v>14388.46</v>
      </c>
      <c r="N146" s="5">
        <v>8818.74</v>
      </c>
    </row>
    <row r="147" spans="1:14">
      <c r="A147" s="2">
        <v>44939.416666666657</v>
      </c>
      <c r="B147" s="3">
        <v>2023</v>
      </c>
      <c r="C147" s="4" t="s">
        <v>59</v>
      </c>
      <c r="D147" s="4">
        <v>1</v>
      </c>
      <c r="E147" s="4" t="s">
        <v>1</v>
      </c>
      <c r="F147" s="4" t="s">
        <v>41</v>
      </c>
      <c r="G147" s="4" t="s">
        <v>39</v>
      </c>
      <c r="H147" s="4" t="s">
        <v>78</v>
      </c>
      <c r="I147" s="4" t="s">
        <v>68</v>
      </c>
      <c r="J147" s="5">
        <v>18</v>
      </c>
      <c r="K147" s="5">
        <v>4311.63</v>
      </c>
      <c r="L147" s="5">
        <v>77609.34</v>
      </c>
      <c r="M147" s="5">
        <v>48117.79</v>
      </c>
      <c r="N147" s="5">
        <v>29491.55</v>
      </c>
    </row>
    <row r="148" spans="1:14">
      <c r="A148" s="2">
        <v>45317.416666666657</v>
      </c>
      <c r="B148" s="3">
        <v>2024</v>
      </c>
      <c r="C148" s="4" t="s">
        <v>59</v>
      </c>
      <c r="D148" s="4">
        <v>1</v>
      </c>
      <c r="E148" s="4" t="s">
        <v>1</v>
      </c>
      <c r="F148" s="4" t="s">
        <v>43</v>
      </c>
      <c r="G148" s="4" t="s">
        <v>35</v>
      </c>
      <c r="H148" s="4" t="s">
        <v>92</v>
      </c>
      <c r="I148" s="4" t="s">
        <v>71</v>
      </c>
      <c r="J148" s="5">
        <v>26</v>
      </c>
      <c r="K148" s="5">
        <v>136.94</v>
      </c>
      <c r="L148" s="5">
        <v>3560.44</v>
      </c>
      <c r="M148" s="5">
        <v>2207.4699999999998</v>
      </c>
      <c r="N148" s="5">
        <v>1352.97</v>
      </c>
    </row>
    <row r="149" spans="1:14">
      <c r="A149" s="2">
        <v>45673.416666666657</v>
      </c>
      <c r="B149" s="3">
        <v>2025</v>
      </c>
      <c r="C149" s="4" t="s">
        <v>59</v>
      </c>
      <c r="D149" s="4">
        <v>1</v>
      </c>
      <c r="E149" s="4" t="s">
        <v>1</v>
      </c>
      <c r="F149" s="4" t="s">
        <v>40</v>
      </c>
      <c r="G149" s="4" t="s">
        <v>36</v>
      </c>
      <c r="H149" s="4" t="s">
        <v>91</v>
      </c>
      <c r="I149" s="4" t="s">
        <v>71</v>
      </c>
      <c r="J149" s="5">
        <v>19</v>
      </c>
      <c r="K149" s="5">
        <v>1058.1400000000001</v>
      </c>
      <c r="L149" s="5">
        <v>20104.66</v>
      </c>
      <c r="M149" s="5">
        <v>12464.89</v>
      </c>
      <c r="N149" s="5">
        <v>7639.77</v>
      </c>
    </row>
    <row r="150" spans="1:14">
      <c r="A150" s="2">
        <v>44596.416666666657</v>
      </c>
      <c r="B150" s="3">
        <v>2022</v>
      </c>
      <c r="C150" s="4" t="s">
        <v>59</v>
      </c>
      <c r="D150" s="4">
        <v>2</v>
      </c>
      <c r="E150" s="4" t="s">
        <v>2</v>
      </c>
      <c r="F150" s="4" t="s">
        <v>43</v>
      </c>
      <c r="G150" s="4" t="s">
        <v>35</v>
      </c>
      <c r="H150" s="4" t="s">
        <v>64</v>
      </c>
      <c r="I150" s="4" t="s">
        <v>61</v>
      </c>
      <c r="J150" s="5">
        <v>13</v>
      </c>
      <c r="K150" s="5">
        <v>38.76</v>
      </c>
      <c r="L150" s="5">
        <v>503.88</v>
      </c>
      <c r="M150" s="5">
        <v>312.41000000000003</v>
      </c>
      <c r="N150" s="5">
        <v>191.47</v>
      </c>
    </row>
    <row r="151" spans="1:14">
      <c r="A151" s="2">
        <v>44971.416666666657</v>
      </c>
      <c r="B151" s="3">
        <v>2023</v>
      </c>
      <c r="C151" s="4" t="s">
        <v>59</v>
      </c>
      <c r="D151" s="4">
        <v>2</v>
      </c>
      <c r="E151" s="4" t="s">
        <v>2</v>
      </c>
      <c r="F151" s="4" t="s">
        <v>42</v>
      </c>
      <c r="G151" s="4" t="s">
        <v>37</v>
      </c>
      <c r="H151" s="4" t="s">
        <v>93</v>
      </c>
      <c r="I151" s="4" t="s">
        <v>65</v>
      </c>
      <c r="J151" s="5">
        <v>1</v>
      </c>
      <c r="K151" s="5">
        <v>147.97999999999999</v>
      </c>
      <c r="L151" s="5">
        <v>147.97999999999999</v>
      </c>
      <c r="M151" s="5">
        <v>91.75</v>
      </c>
      <c r="N151" s="5">
        <v>56.23</v>
      </c>
    </row>
    <row r="152" spans="1:14">
      <c r="A152" s="2">
        <v>45332.416666666657</v>
      </c>
      <c r="B152" s="3">
        <v>2024</v>
      </c>
      <c r="C152" s="4" t="s">
        <v>59</v>
      </c>
      <c r="D152" s="4">
        <v>2</v>
      </c>
      <c r="E152" s="4" t="s">
        <v>2</v>
      </c>
      <c r="F152" s="4" t="s">
        <v>43</v>
      </c>
      <c r="G152" s="4" t="s">
        <v>37</v>
      </c>
      <c r="H152" s="4" t="s">
        <v>66</v>
      </c>
      <c r="I152" s="4" t="s">
        <v>65</v>
      </c>
      <c r="J152" s="5">
        <v>6</v>
      </c>
      <c r="K152" s="5">
        <v>126.58</v>
      </c>
      <c r="L152" s="5">
        <v>759.48</v>
      </c>
      <c r="M152" s="5">
        <v>470.88</v>
      </c>
      <c r="N152" s="5">
        <v>288.60000000000002</v>
      </c>
    </row>
    <row r="153" spans="1:14">
      <c r="A153" s="2">
        <v>45712.416666666657</v>
      </c>
      <c r="B153" s="3">
        <v>2025</v>
      </c>
      <c r="C153" s="4" t="s">
        <v>59</v>
      </c>
      <c r="D153" s="4">
        <v>2</v>
      </c>
      <c r="E153" s="4" t="s">
        <v>2</v>
      </c>
      <c r="F153" s="4" t="s">
        <v>44</v>
      </c>
      <c r="G153" s="4" t="s">
        <v>36</v>
      </c>
      <c r="H153" s="4" t="s">
        <v>75</v>
      </c>
      <c r="I153" s="4" t="s">
        <v>68</v>
      </c>
      <c r="J153" s="5">
        <v>17</v>
      </c>
      <c r="K153" s="5">
        <v>4237.9399999999996</v>
      </c>
      <c r="L153" s="5">
        <v>72044.98</v>
      </c>
      <c r="M153" s="5">
        <v>44667.89</v>
      </c>
      <c r="N153" s="5">
        <v>27377.09</v>
      </c>
    </row>
    <row r="154" spans="1:14">
      <c r="A154" s="2">
        <v>44635.416666666657</v>
      </c>
      <c r="B154" s="3">
        <v>2022</v>
      </c>
      <c r="C154" s="4" t="s">
        <v>59</v>
      </c>
      <c r="D154" s="4">
        <v>3</v>
      </c>
      <c r="E154" s="4" t="s">
        <v>13</v>
      </c>
      <c r="F154" s="4" t="s">
        <v>43</v>
      </c>
      <c r="G154" s="4" t="s">
        <v>36</v>
      </c>
      <c r="H154" s="4" t="s">
        <v>67</v>
      </c>
      <c r="I154" s="4" t="s">
        <v>63</v>
      </c>
      <c r="J154" s="5">
        <v>12</v>
      </c>
      <c r="K154" s="5">
        <v>3968.4</v>
      </c>
      <c r="L154" s="5">
        <v>47620.800000000003</v>
      </c>
      <c r="M154" s="5">
        <v>29524.9</v>
      </c>
      <c r="N154" s="5">
        <v>18095.900000000001</v>
      </c>
    </row>
    <row r="155" spans="1:14">
      <c r="A155" s="2">
        <v>44996.416666666657</v>
      </c>
      <c r="B155" s="3">
        <v>2023</v>
      </c>
      <c r="C155" s="4" t="s">
        <v>59</v>
      </c>
      <c r="D155" s="4">
        <v>3</v>
      </c>
      <c r="E155" s="4" t="s">
        <v>13</v>
      </c>
      <c r="F155" s="4" t="s">
        <v>43</v>
      </c>
      <c r="G155" s="4" t="s">
        <v>36</v>
      </c>
      <c r="H155" s="4" t="s">
        <v>73</v>
      </c>
      <c r="I155" s="4" t="s">
        <v>86</v>
      </c>
      <c r="J155" s="5">
        <v>20</v>
      </c>
      <c r="K155" s="5">
        <v>379.4</v>
      </c>
      <c r="L155" s="5">
        <v>7588</v>
      </c>
      <c r="M155" s="5">
        <v>4704.5600000000004</v>
      </c>
      <c r="N155" s="5">
        <v>2883.44</v>
      </c>
    </row>
    <row r="156" spans="1:14">
      <c r="A156" s="2">
        <v>45375.416666666657</v>
      </c>
      <c r="B156" s="3">
        <v>2024</v>
      </c>
      <c r="C156" s="4" t="s">
        <v>59</v>
      </c>
      <c r="D156" s="4">
        <v>3</v>
      </c>
      <c r="E156" s="4" t="s">
        <v>13</v>
      </c>
      <c r="F156" s="4" t="s">
        <v>41</v>
      </c>
      <c r="G156" s="4" t="s">
        <v>35</v>
      </c>
      <c r="H156" s="4" t="s">
        <v>69</v>
      </c>
      <c r="I156" s="4" t="s">
        <v>65</v>
      </c>
      <c r="J156" s="5">
        <v>9</v>
      </c>
      <c r="K156" s="5">
        <v>91.66</v>
      </c>
      <c r="L156" s="5">
        <v>824.94</v>
      </c>
      <c r="M156" s="5">
        <v>511.46</v>
      </c>
      <c r="N156" s="5">
        <v>313.48</v>
      </c>
    </row>
    <row r="157" spans="1:14">
      <c r="A157" s="2">
        <v>45720.416666666657</v>
      </c>
      <c r="B157" s="3">
        <v>2025</v>
      </c>
      <c r="C157" s="4" t="s">
        <v>59</v>
      </c>
      <c r="D157" s="4">
        <v>3</v>
      </c>
      <c r="E157" s="4" t="s">
        <v>13</v>
      </c>
      <c r="F157" s="4" t="s">
        <v>41</v>
      </c>
      <c r="G157" s="4" t="s">
        <v>39</v>
      </c>
      <c r="H157" s="4" t="s">
        <v>82</v>
      </c>
      <c r="I157" s="4" t="s">
        <v>71</v>
      </c>
      <c r="J157" s="5">
        <v>15</v>
      </c>
      <c r="K157" s="5">
        <v>4732.05</v>
      </c>
      <c r="L157" s="5">
        <v>70980.75</v>
      </c>
      <c r="M157" s="5">
        <v>44008.06</v>
      </c>
      <c r="N157" s="5">
        <v>26972.69</v>
      </c>
    </row>
    <row r="158" spans="1:14">
      <c r="A158" s="2">
        <v>44678.416666666657</v>
      </c>
      <c r="B158" s="3">
        <v>2022</v>
      </c>
      <c r="C158" s="4" t="s">
        <v>76</v>
      </c>
      <c r="D158" s="4">
        <v>4</v>
      </c>
      <c r="E158" s="4" t="s">
        <v>17</v>
      </c>
      <c r="F158" s="4" t="s">
        <v>41</v>
      </c>
      <c r="G158" s="4" t="s">
        <v>36</v>
      </c>
      <c r="H158" s="4" t="s">
        <v>73</v>
      </c>
      <c r="I158" s="4" t="s">
        <v>86</v>
      </c>
      <c r="J158" s="5">
        <v>16</v>
      </c>
      <c r="K158" s="5">
        <v>4577.92</v>
      </c>
      <c r="L158" s="5">
        <v>73246.720000000001</v>
      </c>
      <c r="M158" s="5">
        <v>45412.97</v>
      </c>
      <c r="N158" s="5">
        <v>27833.75</v>
      </c>
    </row>
    <row r="159" spans="1:14">
      <c r="A159" s="2">
        <v>45037.416666666657</v>
      </c>
      <c r="B159" s="3">
        <v>2023</v>
      </c>
      <c r="C159" s="4" t="s">
        <v>76</v>
      </c>
      <c r="D159" s="4">
        <v>4</v>
      </c>
      <c r="E159" s="4" t="s">
        <v>17</v>
      </c>
      <c r="F159" s="4" t="s">
        <v>40</v>
      </c>
      <c r="G159" s="4" t="s">
        <v>39</v>
      </c>
      <c r="H159" s="4" t="s">
        <v>78</v>
      </c>
      <c r="I159" s="4" t="s">
        <v>65</v>
      </c>
      <c r="J159" s="5">
        <v>12</v>
      </c>
      <c r="K159" s="5">
        <v>6109.46</v>
      </c>
      <c r="L159" s="5">
        <v>73313.52</v>
      </c>
      <c r="M159" s="5">
        <v>45454.38</v>
      </c>
      <c r="N159" s="5">
        <v>27859.14</v>
      </c>
    </row>
    <row r="160" spans="1:14">
      <c r="A160" s="2">
        <v>45397.416666666657</v>
      </c>
      <c r="B160" s="3">
        <v>2024</v>
      </c>
      <c r="C160" s="4" t="s">
        <v>76</v>
      </c>
      <c r="D160" s="4">
        <v>4</v>
      </c>
      <c r="E160" s="4" t="s">
        <v>17</v>
      </c>
      <c r="F160" s="4" t="s">
        <v>44</v>
      </c>
      <c r="G160" s="4" t="s">
        <v>38</v>
      </c>
      <c r="H160" s="4" t="s">
        <v>88</v>
      </c>
      <c r="I160" s="4" t="s">
        <v>68</v>
      </c>
      <c r="J160" s="5">
        <v>11</v>
      </c>
      <c r="K160" s="5">
        <v>235.81</v>
      </c>
      <c r="L160" s="5">
        <v>2593.91</v>
      </c>
      <c r="M160" s="5">
        <v>1608.22</v>
      </c>
      <c r="N160" s="5">
        <v>985.69</v>
      </c>
    </row>
    <row r="161" spans="1:14">
      <c r="A161" s="2">
        <v>45774.416666666657</v>
      </c>
      <c r="B161" s="3">
        <v>2025</v>
      </c>
      <c r="C161" s="4" t="s">
        <v>76</v>
      </c>
      <c r="D161" s="4">
        <v>4</v>
      </c>
      <c r="E161" s="4" t="s">
        <v>17</v>
      </c>
      <c r="F161" s="4" t="s">
        <v>41</v>
      </c>
      <c r="G161" s="4" t="s">
        <v>37</v>
      </c>
      <c r="H161" s="4" t="s">
        <v>87</v>
      </c>
      <c r="I161" s="4" t="s">
        <v>61</v>
      </c>
      <c r="J161" s="5">
        <v>21</v>
      </c>
      <c r="K161" s="5">
        <v>105.72</v>
      </c>
      <c r="L161" s="5">
        <v>2220.12</v>
      </c>
      <c r="M161" s="5">
        <v>1376.47</v>
      </c>
      <c r="N161" s="5">
        <v>843.65</v>
      </c>
    </row>
    <row r="162" spans="1:14">
      <c r="A162" s="2">
        <v>44693.416666666657</v>
      </c>
      <c r="B162" s="3">
        <v>2022</v>
      </c>
      <c r="C162" s="4" t="s">
        <v>76</v>
      </c>
      <c r="D162" s="4">
        <v>5</v>
      </c>
      <c r="E162" s="4" t="s">
        <v>18</v>
      </c>
      <c r="F162" s="4" t="s">
        <v>44</v>
      </c>
      <c r="G162" s="4" t="s">
        <v>38</v>
      </c>
      <c r="H162" s="4" t="s">
        <v>83</v>
      </c>
      <c r="I162" s="4" t="s">
        <v>71</v>
      </c>
      <c r="J162" s="5">
        <v>4</v>
      </c>
      <c r="K162" s="5">
        <v>223.14</v>
      </c>
      <c r="L162" s="5">
        <v>892.56</v>
      </c>
      <c r="M162" s="5">
        <v>553.39</v>
      </c>
      <c r="N162" s="5">
        <v>339.17</v>
      </c>
    </row>
    <row r="163" spans="1:14">
      <c r="A163" s="2">
        <v>45069.416666666657</v>
      </c>
      <c r="B163" s="3">
        <v>2023</v>
      </c>
      <c r="C163" s="4" t="s">
        <v>76</v>
      </c>
      <c r="D163" s="4">
        <v>5</v>
      </c>
      <c r="E163" s="4" t="s">
        <v>18</v>
      </c>
      <c r="F163" s="4" t="s">
        <v>41</v>
      </c>
      <c r="G163" s="4" t="s">
        <v>36</v>
      </c>
      <c r="H163" s="4" t="s">
        <v>75</v>
      </c>
      <c r="I163" s="4" t="s">
        <v>71</v>
      </c>
      <c r="J163" s="5">
        <v>22</v>
      </c>
      <c r="K163" s="5">
        <v>246.77</v>
      </c>
      <c r="L163" s="5">
        <v>5428.94</v>
      </c>
      <c r="M163" s="5">
        <v>3365.94</v>
      </c>
      <c r="N163" s="5">
        <v>2063</v>
      </c>
    </row>
    <row r="164" spans="1:14">
      <c r="A164" s="2">
        <v>45417.416666666657</v>
      </c>
      <c r="B164" s="3">
        <v>2024</v>
      </c>
      <c r="C164" s="4" t="s">
        <v>76</v>
      </c>
      <c r="D164" s="4">
        <v>5</v>
      </c>
      <c r="E164" s="4" t="s">
        <v>18</v>
      </c>
      <c r="F164" s="4" t="s">
        <v>40</v>
      </c>
      <c r="G164" s="4" t="s">
        <v>38</v>
      </c>
      <c r="H164" s="4" t="s">
        <v>83</v>
      </c>
      <c r="I164" s="4" t="s">
        <v>63</v>
      </c>
      <c r="J164" s="5">
        <v>20</v>
      </c>
      <c r="K164" s="5">
        <v>393.95</v>
      </c>
      <c r="L164" s="5">
        <v>7879</v>
      </c>
      <c r="M164" s="5">
        <v>4884.9799999999996</v>
      </c>
      <c r="N164" s="5">
        <v>2994.02</v>
      </c>
    </row>
    <row r="165" spans="1:14">
      <c r="A165" s="2">
        <v>45800.416666666657</v>
      </c>
      <c r="B165" s="3">
        <v>2025</v>
      </c>
      <c r="C165" s="4" t="s">
        <v>76</v>
      </c>
      <c r="D165" s="4">
        <v>5</v>
      </c>
      <c r="E165" s="4" t="s">
        <v>18</v>
      </c>
      <c r="F165" s="4" t="s">
        <v>41</v>
      </c>
      <c r="G165" s="4" t="s">
        <v>39</v>
      </c>
      <c r="H165" s="4" t="s">
        <v>79</v>
      </c>
      <c r="I165" s="4" t="s">
        <v>61</v>
      </c>
      <c r="J165" s="5">
        <v>3</v>
      </c>
      <c r="K165" s="5">
        <v>2518.0300000000002</v>
      </c>
      <c r="L165" s="5">
        <v>7554.09</v>
      </c>
      <c r="M165" s="5">
        <v>4683.54</v>
      </c>
      <c r="N165" s="5">
        <v>2870.55</v>
      </c>
    </row>
    <row r="166" spans="1:14">
      <c r="A166" s="2">
        <v>44721.416666666657</v>
      </c>
      <c r="B166" s="3">
        <v>2022</v>
      </c>
      <c r="C166" s="4" t="s">
        <v>76</v>
      </c>
      <c r="D166" s="4">
        <v>6</v>
      </c>
      <c r="E166" s="4" t="s">
        <v>19</v>
      </c>
      <c r="F166" s="4" t="s">
        <v>40</v>
      </c>
      <c r="G166" s="4" t="s">
        <v>36</v>
      </c>
      <c r="H166" s="4" t="s">
        <v>67</v>
      </c>
      <c r="I166" s="4" t="s">
        <v>65</v>
      </c>
      <c r="J166" s="5">
        <v>15</v>
      </c>
      <c r="K166" s="5">
        <v>2749.88</v>
      </c>
      <c r="L166" s="5">
        <v>41248.199999999997</v>
      </c>
      <c r="M166" s="5">
        <v>25573.88</v>
      </c>
      <c r="N166" s="5">
        <v>15674.32</v>
      </c>
    </row>
    <row r="167" spans="1:14">
      <c r="A167" s="2">
        <v>45087.416666666657</v>
      </c>
      <c r="B167" s="3">
        <v>2023</v>
      </c>
      <c r="C167" s="4" t="s">
        <v>76</v>
      </c>
      <c r="D167" s="4">
        <v>6</v>
      </c>
      <c r="E167" s="4" t="s">
        <v>19</v>
      </c>
      <c r="F167" s="4" t="s">
        <v>43</v>
      </c>
      <c r="G167" s="4" t="s">
        <v>39</v>
      </c>
      <c r="H167" s="4" t="s">
        <v>60</v>
      </c>
      <c r="I167" s="4" t="s">
        <v>86</v>
      </c>
      <c r="J167" s="5">
        <v>5</v>
      </c>
      <c r="K167" s="5">
        <v>3903.7</v>
      </c>
      <c r="L167" s="5">
        <v>19518.5</v>
      </c>
      <c r="M167" s="5">
        <v>12101.47</v>
      </c>
      <c r="N167" s="5">
        <v>7417.03</v>
      </c>
    </row>
    <row r="168" spans="1:14">
      <c r="A168" s="2">
        <v>45461.416666666657</v>
      </c>
      <c r="B168" s="3">
        <v>2024</v>
      </c>
      <c r="C168" s="4" t="s">
        <v>76</v>
      </c>
      <c r="D168" s="4">
        <v>6</v>
      </c>
      <c r="E168" s="4" t="s">
        <v>19</v>
      </c>
      <c r="F168" s="4" t="s">
        <v>42</v>
      </c>
      <c r="G168" s="4" t="s">
        <v>39</v>
      </c>
      <c r="H168" s="4" t="s">
        <v>60</v>
      </c>
      <c r="I168" s="4" t="s">
        <v>86</v>
      </c>
      <c r="J168" s="5">
        <v>21</v>
      </c>
      <c r="K168" s="5">
        <v>2027.01</v>
      </c>
      <c r="L168" s="5">
        <v>42567.21</v>
      </c>
      <c r="M168" s="5">
        <v>26391.67</v>
      </c>
      <c r="N168" s="5">
        <v>16175.54</v>
      </c>
    </row>
    <row r="169" spans="1:14">
      <c r="A169" s="2">
        <v>45818.416666666657</v>
      </c>
      <c r="B169" s="3">
        <v>2025</v>
      </c>
      <c r="C169" s="4" t="s">
        <v>76</v>
      </c>
      <c r="D169" s="4">
        <v>6</v>
      </c>
      <c r="E169" s="4" t="s">
        <v>19</v>
      </c>
      <c r="F169" s="4" t="s">
        <v>42</v>
      </c>
      <c r="G169" s="4" t="s">
        <v>35</v>
      </c>
      <c r="H169" s="4" t="s">
        <v>90</v>
      </c>
      <c r="I169" s="4" t="s">
        <v>63</v>
      </c>
      <c r="J169" s="5">
        <v>19</v>
      </c>
      <c r="K169" s="5">
        <v>45.08</v>
      </c>
      <c r="L169" s="5">
        <v>856.52</v>
      </c>
      <c r="M169" s="5">
        <v>531.04</v>
      </c>
      <c r="N169" s="5">
        <v>325.48</v>
      </c>
    </row>
    <row r="170" spans="1:14">
      <c r="A170" s="2">
        <v>44760.416666666657</v>
      </c>
      <c r="B170" s="3">
        <v>2022</v>
      </c>
      <c r="C170" s="4" t="s">
        <v>80</v>
      </c>
      <c r="D170" s="4">
        <v>7</v>
      </c>
      <c r="E170" s="4" t="s">
        <v>21</v>
      </c>
      <c r="F170" s="4" t="s">
        <v>41</v>
      </c>
      <c r="G170" s="4" t="s">
        <v>38</v>
      </c>
      <c r="H170" s="4" t="s">
        <v>72</v>
      </c>
      <c r="I170" s="4" t="s">
        <v>61</v>
      </c>
      <c r="J170" s="5">
        <v>17</v>
      </c>
      <c r="K170" s="5">
        <v>158.59</v>
      </c>
      <c r="L170" s="5">
        <v>2696.03</v>
      </c>
      <c r="M170" s="5">
        <v>1671.54</v>
      </c>
      <c r="N170" s="5">
        <v>1024.49</v>
      </c>
    </row>
    <row r="171" spans="1:14">
      <c r="A171" s="2">
        <v>45113.416666666657</v>
      </c>
      <c r="B171" s="3">
        <v>2023</v>
      </c>
      <c r="C171" s="4" t="s">
        <v>80</v>
      </c>
      <c r="D171" s="4">
        <v>7</v>
      </c>
      <c r="E171" s="4" t="s">
        <v>21</v>
      </c>
      <c r="F171" s="4" t="s">
        <v>41</v>
      </c>
      <c r="G171" s="4" t="s">
        <v>37</v>
      </c>
      <c r="H171" s="4" t="s">
        <v>66</v>
      </c>
      <c r="I171" s="4" t="s">
        <v>65</v>
      </c>
      <c r="J171" s="5">
        <v>25</v>
      </c>
      <c r="K171" s="5">
        <v>142.47999999999999</v>
      </c>
      <c r="L171" s="5">
        <v>3562</v>
      </c>
      <c r="M171" s="5">
        <v>2208.44</v>
      </c>
      <c r="N171" s="5">
        <v>1353.56</v>
      </c>
    </row>
    <row r="172" spans="1:14">
      <c r="A172" s="2">
        <v>45490.416666666657</v>
      </c>
      <c r="B172" s="3">
        <v>2024</v>
      </c>
      <c r="C172" s="4" t="s">
        <v>80</v>
      </c>
      <c r="D172" s="4">
        <v>7</v>
      </c>
      <c r="E172" s="4" t="s">
        <v>21</v>
      </c>
      <c r="F172" s="4" t="s">
        <v>41</v>
      </c>
      <c r="G172" s="4" t="s">
        <v>36</v>
      </c>
      <c r="H172" s="4" t="s">
        <v>75</v>
      </c>
      <c r="I172" s="4" t="s">
        <v>71</v>
      </c>
      <c r="J172" s="5">
        <v>36</v>
      </c>
      <c r="K172" s="5">
        <v>4034.62</v>
      </c>
      <c r="L172" s="5">
        <v>145246.32</v>
      </c>
      <c r="M172" s="5">
        <v>90052.72</v>
      </c>
      <c r="N172" s="5">
        <v>55193.599999999999</v>
      </c>
    </row>
    <row r="173" spans="1:14">
      <c r="A173" s="2">
        <v>45842.416666666657</v>
      </c>
      <c r="B173" s="3">
        <v>2025</v>
      </c>
      <c r="C173" s="4" t="s">
        <v>80</v>
      </c>
      <c r="D173" s="4">
        <v>7</v>
      </c>
      <c r="E173" s="4" t="s">
        <v>21</v>
      </c>
      <c r="F173" s="4" t="s">
        <v>41</v>
      </c>
      <c r="G173" s="4" t="s">
        <v>39</v>
      </c>
      <c r="H173" s="4" t="s">
        <v>60</v>
      </c>
      <c r="I173" s="4" t="s">
        <v>65</v>
      </c>
      <c r="J173" s="5">
        <v>2</v>
      </c>
      <c r="K173" s="5">
        <v>960.26</v>
      </c>
      <c r="L173" s="5">
        <v>1920.52</v>
      </c>
      <c r="M173" s="5">
        <v>1190.72</v>
      </c>
      <c r="N173" s="5">
        <v>729.8</v>
      </c>
    </row>
    <row r="174" spans="1:14">
      <c r="A174" s="2">
        <v>44784.416666666657</v>
      </c>
      <c r="B174" s="3">
        <v>2022</v>
      </c>
      <c r="C174" s="4" t="s">
        <v>80</v>
      </c>
      <c r="D174" s="4">
        <v>8</v>
      </c>
      <c r="E174" s="4" t="s">
        <v>22</v>
      </c>
      <c r="F174" s="4" t="s">
        <v>41</v>
      </c>
      <c r="G174" s="4" t="s">
        <v>35</v>
      </c>
      <c r="H174" s="4" t="s">
        <v>70</v>
      </c>
      <c r="I174" s="4" t="s">
        <v>68</v>
      </c>
      <c r="J174" s="5">
        <v>4</v>
      </c>
      <c r="K174" s="5">
        <v>103.88</v>
      </c>
      <c r="L174" s="5">
        <v>415.52</v>
      </c>
      <c r="M174" s="5">
        <v>257.62</v>
      </c>
      <c r="N174" s="5">
        <v>157.9</v>
      </c>
    </row>
    <row r="175" spans="1:14">
      <c r="A175" s="2">
        <v>45158.416666666657</v>
      </c>
      <c r="B175" s="3">
        <v>2023</v>
      </c>
      <c r="C175" s="4" t="s">
        <v>80</v>
      </c>
      <c r="D175" s="4">
        <v>8</v>
      </c>
      <c r="E175" s="4" t="s">
        <v>22</v>
      </c>
      <c r="F175" s="4" t="s">
        <v>41</v>
      </c>
      <c r="G175" s="4" t="s">
        <v>35</v>
      </c>
      <c r="H175" s="4" t="s">
        <v>70</v>
      </c>
      <c r="I175" s="4" t="s">
        <v>65</v>
      </c>
      <c r="J175" s="5">
        <v>16</v>
      </c>
      <c r="K175" s="5">
        <v>79.010000000000005</v>
      </c>
      <c r="L175" s="5">
        <v>1264.1600000000001</v>
      </c>
      <c r="M175" s="5">
        <v>783.78</v>
      </c>
      <c r="N175" s="5">
        <v>480.38</v>
      </c>
    </row>
    <row r="176" spans="1:14">
      <c r="A176" s="2">
        <v>45522.416666666657</v>
      </c>
      <c r="B176" s="3">
        <v>2024</v>
      </c>
      <c r="C176" s="4" t="s">
        <v>80</v>
      </c>
      <c r="D176" s="4">
        <v>8</v>
      </c>
      <c r="E176" s="4" t="s">
        <v>22</v>
      </c>
      <c r="F176" s="4" t="s">
        <v>42</v>
      </c>
      <c r="G176" s="4" t="s">
        <v>37</v>
      </c>
      <c r="H176" s="4" t="s">
        <v>93</v>
      </c>
      <c r="I176" s="4" t="s">
        <v>65</v>
      </c>
      <c r="J176" s="5">
        <v>33</v>
      </c>
      <c r="K176" s="5">
        <v>282.05</v>
      </c>
      <c r="L176" s="5">
        <v>9307.65</v>
      </c>
      <c r="M176" s="5">
        <v>5770.74</v>
      </c>
      <c r="N176" s="5">
        <v>3536.91</v>
      </c>
    </row>
    <row r="177" spans="1:14">
      <c r="A177" s="2">
        <v>45878.416666666657</v>
      </c>
      <c r="B177" s="3">
        <v>2025</v>
      </c>
      <c r="C177" s="4" t="s">
        <v>80</v>
      </c>
      <c r="D177" s="4">
        <v>8</v>
      </c>
      <c r="E177" s="4" t="s">
        <v>22</v>
      </c>
      <c r="F177" s="4" t="s">
        <v>44</v>
      </c>
      <c r="G177" s="4" t="s">
        <v>39</v>
      </c>
      <c r="H177" s="4" t="s">
        <v>78</v>
      </c>
      <c r="I177" s="4" t="s">
        <v>68</v>
      </c>
      <c r="J177" s="5">
        <v>13</v>
      </c>
      <c r="K177" s="5">
        <v>1518.79</v>
      </c>
      <c r="L177" s="5">
        <v>19744.27</v>
      </c>
      <c r="M177" s="5">
        <v>12241.45</v>
      </c>
      <c r="N177" s="5">
        <v>7502.82</v>
      </c>
    </row>
    <row r="178" spans="1:14">
      <c r="A178" s="2">
        <v>44807.416666666657</v>
      </c>
      <c r="B178" s="3">
        <v>2022</v>
      </c>
      <c r="C178" s="4" t="s">
        <v>80</v>
      </c>
      <c r="D178" s="4">
        <v>9</v>
      </c>
      <c r="E178" s="4" t="s">
        <v>23</v>
      </c>
      <c r="F178" s="4" t="s">
        <v>41</v>
      </c>
      <c r="G178" s="4" t="s">
        <v>37</v>
      </c>
      <c r="H178" s="4" t="s">
        <v>87</v>
      </c>
      <c r="I178" s="4" t="s">
        <v>65</v>
      </c>
      <c r="J178" s="5">
        <v>22</v>
      </c>
      <c r="K178" s="5">
        <v>89.98</v>
      </c>
      <c r="L178" s="5">
        <v>1979.56</v>
      </c>
      <c r="M178" s="5">
        <v>1227.33</v>
      </c>
      <c r="N178" s="5">
        <v>752.23</v>
      </c>
    </row>
    <row r="179" spans="1:14">
      <c r="A179" s="2">
        <v>45195.416666666657</v>
      </c>
      <c r="B179" s="3">
        <v>2023</v>
      </c>
      <c r="C179" s="4" t="s">
        <v>80</v>
      </c>
      <c r="D179" s="4">
        <v>9</v>
      </c>
      <c r="E179" s="4" t="s">
        <v>23</v>
      </c>
      <c r="F179" s="4" t="s">
        <v>41</v>
      </c>
      <c r="G179" s="4" t="s">
        <v>36</v>
      </c>
      <c r="H179" s="4" t="s">
        <v>81</v>
      </c>
      <c r="I179" s="4" t="s">
        <v>63</v>
      </c>
      <c r="J179" s="5">
        <v>14</v>
      </c>
      <c r="K179" s="5">
        <v>2202.42</v>
      </c>
      <c r="L179" s="5">
        <v>30833.88</v>
      </c>
      <c r="M179" s="5">
        <v>19117.009999999998</v>
      </c>
      <c r="N179" s="5">
        <v>11716.87</v>
      </c>
    </row>
    <row r="180" spans="1:14">
      <c r="A180" s="2">
        <v>45558.416666666657</v>
      </c>
      <c r="B180" s="3">
        <v>2024</v>
      </c>
      <c r="C180" s="4" t="s">
        <v>80</v>
      </c>
      <c r="D180" s="4">
        <v>9</v>
      </c>
      <c r="E180" s="4" t="s">
        <v>23</v>
      </c>
      <c r="F180" s="4" t="s">
        <v>43</v>
      </c>
      <c r="G180" s="4" t="s">
        <v>35</v>
      </c>
      <c r="H180" s="4" t="s">
        <v>90</v>
      </c>
      <c r="I180" s="4" t="s">
        <v>61</v>
      </c>
      <c r="J180" s="5">
        <v>8</v>
      </c>
      <c r="K180" s="5">
        <v>74.45</v>
      </c>
      <c r="L180" s="5">
        <v>595.6</v>
      </c>
      <c r="M180" s="5">
        <v>369.27</v>
      </c>
      <c r="N180" s="5">
        <v>226.33</v>
      </c>
    </row>
    <row r="181" spans="1:14">
      <c r="A181" s="2">
        <v>45923.416666666657</v>
      </c>
      <c r="B181" s="3">
        <v>2025</v>
      </c>
      <c r="C181" s="4" t="s">
        <v>80</v>
      </c>
      <c r="D181" s="4">
        <v>9</v>
      </c>
      <c r="E181" s="4" t="s">
        <v>23</v>
      </c>
      <c r="F181" s="4" t="s">
        <v>42</v>
      </c>
      <c r="G181" s="4" t="s">
        <v>36</v>
      </c>
      <c r="H181" s="4" t="s">
        <v>81</v>
      </c>
      <c r="I181" s="4" t="s">
        <v>63</v>
      </c>
      <c r="J181" s="5">
        <v>9</v>
      </c>
      <c r="K181" s="5">
        <v>3438.22</v>
      </c>
      <c r="L181" s="5">
        <v>30943.98</v>
      </c>
      <c r="M181" s="5">
        <v>19185.27</v>
      </c>
      <c r="N181" s="5">
        <v>11758.71</v>
      </c>
    </row>
    <row r="182" spans="1:14">
      <c r="A182" s="2">
        <v>44861.416666666657</v>
      </c>
      <c r="B182" s="3">
        <v>2022</v>
      </c>
      <c r="C182" s="4" t="s">
        <v>85</v>
      </c>
      <c r="D182" s="4">
        <v>10</v>
      </c>
      <c r="E182" s="4" t="s">
        <v>29</v>
      </c>
      <c r="F182" s="4" t="s">
        <v>44</v>
      </c>
      <c r="G182" s="4" t="s">
        <v>38</v>
      </c>
      <c r="H182" s="4" t="s">
        <v>74</v>
      </c>
      <c r="I182" s="4" t="s">
        <v>65</v>
      </c>
      <c r="J182" s="5">
        <v>3</v>
      </c>
      <c r="K182" s="5">
        <v>287.44</v>
      </c>
      <c r="L182" s="5">
        <v>862.32</v>
      </c>
      <c r="M182" s="5">
        <v>534.64</v>
      </c>
      <c r="N182" s="5">
        <v>327.68</v>
      </c>
    </row>
    <row r="183" spans="1:14">
      <c r="A183" s="2">
        <v>45205.416666666657</v>
      </c>
      <c r="B183" s="3">
        <v>2023</v>
      </c>
      <c r="C183" s="4" t="s">
        <v>85</v>
      </c>
      <c r="D183" s="4">
        <v>10</v>
      </c>
      <c r="E183" s="4" t="s">
        <v>29</v>
      </c>
      <c r="F183" s="4" t="s">
        <v>43</v>
      </c>
      <c r="G183" s="4" t="s">
        <v>35</v>
      </c>
      <c r="H183" s="4" t="s">
        <v>90</v>
      </c>
      <c r="I183" s="4" t="s">
        <v>63</v>
      </c>
      <c r="J183" s="5">
        <v>9</v>
      </c>
      <c r="K183" s="5">
        <v>56.88</v>
      </c>
      <c r="L183" s="5">
        <v>511.92</v>
      </c>
      <c r="M183" s="5">
        <v>317.39</v>
      </c>
      <c r="N183" s="5">
        <v>194.53</v>
      </c>
    </row>
    <row r="184" spans="1:14">
      <c r="A184" s="2">
        <v>45591.416666666657</v>
      </c>
      <c r="B184" s="3">
        <v>2024</v>
      </c>
      <c r="C184" s="4" t="s">
        <v>85</v>
      </c>
      <c r="D184" s="4">
        <v>10</v>
      </c>
      <c r="E184" s="4" t="s">
        <v>29</v>
      </c>
      <c r="F184" s="4" t="s">
        <v>43</v>
      </c>
      <c r="G184" s="4" t="s">
        <v>39</v>
      </c>
      <c r="H184" s="4" t="s">
        <v>79</v>
      </c>
      <c r="I184" s="4" t="s">
        <v>86</v>
      </c>
      <c r="J184" s="5">
        <v>29</v>
      </c>
      <c r="K184" s="5">
        <v>1133.94</v>
      </c>
      <c r="L184" s="5">
        <v>32884.26</v>
      </c>
      <c r="M184" s="5">
        <v>20388.240000000002</v>
      </c>
      <c r="N184" s="5">
        <v>12496.02</v>
      </c>
    </row>
    <row r="185" spans="1:14">
      <c r="A185" s="2">
        <v>45933.416666666657</v>
      </c>
      <c r="B185" s="3">
        <v>2025</v>
      </c>
      <c r="C185" s="4" t="s">
        <v>85</v>
      </c>
      <c r="D185" s="4">
        <v>10</v>
      </c>
      <c r="E185" s="4" t="s">
        <v>29</v>
      </c>
      <c r="F185" s="4" t="s">
        <v>40</v>
      </c>
      <c r="G185" s="4" t="s">
        <v>36</v>
      </c>
      <c r="H185" s="4" t="s">
        <v>73</v>
      </c>
      <c r="I185" s="4" t="s">
        <v>68</v>
      </c>
      <c r="J185" s="5">
        <v>15</v>
      </c>
      <c r="K185" s="5">
        <v>670.84</v>
      </c>
      <c r="L185" s="5">
        <v>10062.6</v>
      </c>
      <c r="M185" s="5">
        <v>6238.81</v>
      </c>
      <c r="N185" s="5">
        <v>3823.79</v>
      </c>
    </row>
    <row r="186" spans="1:14">
      <c r="A186" s="2">
        <v>44885.416666666657</v>
      </c>
      <c r="B186" s="3">
        <v>2022</v>
      </c>
      <c r="C186" s="4" t="s">
        <v>85</v>
      </c>
      <c r="D186" s="4">
        <v>11</v>
      </c>
      <c r="E186" s="4" t="s">
        <v>30</v>
      </c>
      <c r="F186" s="4" t="s">
        <v>44</v>
      </c>
      <c r="G186" s="4" t="s">
        <v>39</v>
      </c>
      <c r="H186" s="4" t="s">
        <v>60</v>
      </c>
      <c r="I186" s="4" t="s">
        <v>65</v>
      </c>
      <c r="J186" s="5">
        <v>26</v>
      </c>
      <c r="K186" s="5">
        <v>4769.42</v>
      </c>
      <c r="L186" s="5">
        <v>124004.92</v>
      </c>
      <c r="M186" s="5">
        <v>76883.05</v>
      </c>
      <c r="N186" s="5">
        <v>47121.87</v>
      </c>
    </row>
    <row r="187" spans="1:14">
      <c r="A187" s="2">
        <v>45243.416666666657</v>
      </c>
      <c r="B187" s="3">
        <v>2023</v>
      </c>
      <c r="C187" s="4" t="s">
        <v>85</v>
      </c>
      <c r="D187" s="4">
        <v>11</v>
      </c>
      <c r="E187" s="4" t="s">
        <v>30</v>
      </c>
      <c r="F187" s="4" t="s">
        <v>43</v>
      </c>
      <c r="G187" s="4" t="s">
        <v>39</v>
      </c>
      <c r="H187" s="4" t="s">
        <v>89</v>
      </c>
      <c r="I187" s="4" t="s">
        <v>61</v>
      </c>
      <c r="J187" s="5">
        <v>5</v>
      </c>
      <c r="K187" s="5">
        <v>2121.4</v>
      </c>
      <c r="L187" s="5">
        <v>10607</v>
      </c>
      <c r="M187" s="5">
        <v>6576.34</v>
      </c>
      <c r="N187" s="5">
        <v>4030.66</v>
      </c>
    </row>
    <row r="188" spans="1:14">
      <c r="A188" s="2">
        <v>45606.416666666657</v>
      </c>
      <c r="B188" s="3">
        <v>2024</v>
      </c>
      <c r="C188" s="4" t="s">
        <v>85</v>
      </c>
      <c r="D188" s="4">
        <v>11</v>
      </c>
      <c r="E188" s="4" t="s">
        <v>30</v>
      </c>
      <c r="F188" s="4" t="s">
        <v>43</v>
      </c>
      <c r="G188" s="4" t="s">
        <v>37</v>
      </c>
      <c r="H188" s="4" t="s">
        <v>66</v>
      </c>
      <c r="I188" s="4" t="s">
        <v>71</v>
      </c>
      <c r="J188" s="5">
        <v>12</v>
      </c>
      <c r="K188" s="5">
        <v>240.77</v>
      </c>
      <c r="L188" s="5">
        <v>2889.24</v>
      </c>
      <c r="M188" s="5">
        <v>1791.33</v>
      </c>
      <c r="N188" s="5">
        <v>1097.9100000000001</v>
      </c>
    </row>
    <row r="189" spans="1:14">
      <c r="A189" s="2">
        <v>45978.416666666657</v>
      </c>
      <c r="B189" s="3">
        <v>2025</v>
      </c>
      <c r="C189" s="4" t="s">
        <v>85</v>
      </c>
      <c r="D189" s="4">
        <v>11</v>
      </c>
      <c r="E189" s="4" t="s">
        <v>30</v>
      </c>
      <c r="F189" s="4" t="s">
        <v>41</v>
      </c>
      <c r="G189" s="4" t="s">
        <v>38</v>
      </c>
      <c r="H189" s="4" t="s">
        <v>83</v>
      </c>
      <c r="I189" s="4" t="s">
        <v>61</v>
      </c>
      <c r="J189" s="5">
        <v>30</v>
      </c>
      <c r="K189" s="5">
        <v>123.28</v>
      </c>
      <c r="L189" s="5">
        <v>3698.4</v>
      </c>
      <c r="M189" s="5">
        <v>2293.0100000000002</v>
      </c>
      <c r="N189" s="5">
        <v>1405.39</v>
      </c>
    </row>
    <row r="190" spans="1:14">
      <c r="A190" s="2">
        <v>44916.416666666657</v>
      </c>
      <c r="B190" s="3">
        <v>2022</v>
      </c>
      <c r="C190" s="4" t="s">
        <v>85</v>
      </c>
      <c r="D190" s="4">
        <v>12</v>
      </c>
      <c r="E190" s="4" t="s">
        <v>31</v>
      </c>
      <c r="F190" s="4" t="s">
        <v>44</v>
      </c>
      <c r="G190" s="4" t="s">
        <v>38</v>
      </c>
      <c r="H190" s="4" t="s">
        <v>72</v>
      </c>
      <c r="I190" s="4" t="s">
        <v>86</v>
      </c>
      <c r="J190" s="5">
        <v>15</v>
      </c>
      <c r="K190" s="5">
        <v>349.2</v>
      </c>
      <c r="L190" s="5">
        <v>5238</v>
      </c>
      <c r="M190" s="5">
        <v>3247.56</v>
      </c>
      <c r="N190" s="5">
        <v>1990.44</v>
      </c>
    </row>
    <row r="191" spans="1:14">
      <c r="A191" s="2">
        <v>45275.416666666657</v>
      </c>
      <c r="B191" s="3">
        <v>2023</v>
      </c>
      <c r="C191" s="4" t="s">
        <v>85</v>
      </c>
      <c r="D191" s="4">
        <v>12</v>
      </c>
      <c r="E191" s="4" t="s">
        <v>31</v>
      </c>
      <c r="F191" s="4" t="s">
        <v>42</v>
      </c>
      <c r="G191" s="4" t="s">
        <v>36</v>
      </c>
      <c r="H191" s="4" t="s">
        <v>81</v>
      </c>
      <c r="I191" s="4" t="s">
        <v>71</v>
      </c>
      <c r="J191" s="5">
        <v>34</v>
      </c>
      <c r="K191" s="5">
        <v>337.94</v>
      </c>
      <c r="L191" s="5">
        <v>11489.96</v>
      </c>
      <c r="M191" s="5">
        <v>7123.78</v>
      </c>
      <c r="N191" s="5">
        <v>4366.18</v>
      </c>
    </row>
    <row r="192" spans="1:14">
      <c r="A192" s="2">
        <v>45647.416666666657</v>
      </c>
      <c r="B192" s="3">
        <v>2024</v>
      </c>
      <c r="C192" s="4" t="s">
        <v>85</v>
      </c>
      <c r="D192" s="4">
        <v>12</v>
      </c>
      <c r="E192" s="4" t="s">
        <v>31</v>
      </c>
      <c r="F192" s="4" t="s">
        <v>40</v>
      </c>
      <c r="G192" s="4" t="s">
        <v>36</v>
      </c>
      <c r="H192" s="4" t="s">
        <v>75</v>
      </c>
      <c r="I192" s="4" t="s">
        <v>61</v>
      </c>
      <c r="J192" s="5">
        <v>33</v>
      </c>
      <c r="K192" s="5">
        <v>3267.48</v>
      </c>
      <c r="L192" s="5">
        <v>107826.84</v>
      </c>
      <c r="M192" s="5">
        <v>66852.639999999999</v>
      </c>
      <c r="N192" s="5">
        <v>40974.199999999997</v>
      </c>
    </row>
    <row r="193" spans="1:14">
      <c r="A193" s="2">
        <v>46017.416666666657</v>
      </c>
      <c r="B193" s="3">
        <v>2025</v>
      </c>
      <c r="C193" s="4" t="s">
        <v>85</v>
      </c>
      <c r="D193" s="4">
        <v>12</v>
      </c>
      <c r="E193" s="4" t="s">
        <v>31</v>
      </c>
      <c r="F193" s="4" t="s">
        <v>40</v>
      </c>
      <c r="G193" s="4" t="s">
        <v>35</v>
      </c>
      <c r="H193" s="4" t="s">
        <v>70</v>
      </c>
      <c r="I193" s="4" t="s">
        <v>71</v>
      </c>
      <c r="J193" s="5">
        <v>33</v>
      </c>
      <c r="K193" s="5">
        <v>128.88</v>
      </c>
      <c r="L193" s="5">
        <v>4253.04</v>
      </c>
      <c r="M193" s="5">
        <v>2636.88</v>
      </c>
      <c r="N193" s="5">
        <v>1616.16</v>
      </c>
    </row>
    <row r="194" spans="1:14">
      <c r="A194" s="2">
        <v>44574.416666666657</v>
      </c>
      <c r="B194" s="3">
        <v>2022</v>
      </c>
      <c r="C194" s="4" t="s">
        <v>59</v>
      </c>
      <c r="D194" s="4">
        <v>1</v>
      </c>
      <c r="E194" s="4" t="s">
        <v>1</v>
      </c>
      <c r="F194" s="4" t="s">
        <v>41</v>
      </c>
      <c r="G194" s="4" t="s">
        <v>38</v>
      </c>
      <c r="H194" s="4" t="s">
        <v>72</v>
      </c>
      <c r="I194" s="4" t="s">
        <v>71</v>
      </c>
      <c r="J194" s="5">
        <v>2</v>
      </c>
      <c r="K194" s="5">
        <v>162.27000000000001</v>
      </c>
      <c r="L194" s="5">
        <v>324.54000000000002</v>
      </c>
      <c r="M194" s="5">
        <v>201.21</v>
      </c>
      <c r="N194" s="5">
        <v>123.33</v>
      </c>
    </row>
    <row r="195" spans="1:14">
      <c r="A195" s="2">
        <v>44939.416666666657</v>
      </c>
      <c r="B195" s="3">
        <v>2023</v>
      </c>
      <c r="C195" s="4" t="s">
        <v>59</v>
      </c>
      <c r="D195" s="4">
        <v>1</v>
      </c>
      <c r="E195" s="4" t="s">
        <v>1</v>
      </c>
      <c r="F195" s="4" t="s">
        <v>43</v>
      </c>
      <c r="G195" s="4" t="s">
        <v>39</v>
      </c>
      <c r="H195" s="4" t="s">
        <v>60</v>
      </c>
      <c r="I195" s="4" t="s">
        <v>65</v>
      </c>
      <c r="J195" s="5">
        <v>33</v>
      </c>
      <c r="K195" s="5">
        <v>3940.78</v>
      </c>
      <c r="L195" s="5">
        <v>130045.74</v>
      </c>
      <c r="M195" s="5">
        <v>80628.36</v>
      </c>
      <c r="N195" s="5">
        <v>49417.38</v>
      </c>
    </row>
    <row r="196" spans="1:14">
      <c r="A196" s="2">
        <v>45312.416666666657</v>
      </c>
      <c r="B196" s="3">
        <v>2024</v>
      </c>
      <c r="C196" s="4" t="s">
        <v>59</v>
      </c>
      <c r="D196" s="4">
        <v>1</v>
      </c>
      <c r="E196" s="4" t="s">
        <v>1</v>
      </c>
      <c r="F196" s="4" t="s">
        <v>40</v>
      </c>
      <c r="G196" s="4" t="s">
        <v>35</v>
      </c>
      <c r="H196" s="4" t="s">
        <v>92</v>
      </c>
      <c r="I196" s="4" t="s">
        <v>63</v>
      </c>
      <c r="J196" s="5">
        <v>48</v>
      </c>
      <c r="K196" s="5">
        <v>68.11</v>
      </c>
      <c r="L196" s="5">
        <v>3269.28</v>
      </c>
      <c r="M196" s="5">
        <v>2026.95</v>
      </c>
      <c r="N196" s="5">
        <v>1242.33</v>
      </c>
    </row>
    <row r="197" spans="1:14">
      <c r="A197" s="2">
        <v>45675.416666666657</v>
      </c>
      <c r="B197" s="3">
        <v>2025</v>
      </c>
      <c r="C197" s="4" t="s">
        <v>59</v>
      </c>
      <c r="D197" s="4">
        <v>1</v>
      </c>
      <c r="E197" s="4" t="s">
        <v>1</v>
      </c>
      <c r="F197" s="4" t="s">
        <v>44</v>
      </c>
      <c r="G197" s="4" t="s">
        <v>39</v>
      </c>
      <c r="H197" s="4" t="s">
        <v>89</v>
      </c>
      <c r="I197" s="4" t="s">
        <v>68</v>
      </c>
      <c r="J197" s="5">
        <v>34</v>
      </c>
      <c r="K197" s="5">
        <v>3661.03</v>
      </c>
      <c r="L197" s="5">
        <v>124475.02</v>
      </c>
      <c r="M197" s="5">
        <v>77174.509999999995</v>
      </c>
      <c r="N197" s="5">
        <v>47300.51</v>
      </c>
    </row>
    <row r="198" spans="1:14">
      <c r="A198" s="2">
        <v>44619.416666666657</v>
      </c>
      <c r="B198" s="3">
        <v>2022</v>
      </c>
      <c r="C198" s="4" t="s">
        <v>59</v>
      </c>
      <c r="D198" s="4">
        <v>2</v>
      </c>
      <c r="E198" s="4" t="s">
        <v>2</v>
      </c>
      <c r="F198" s="4" t="s">
        <v>40</v>
      </c>
      <c r="G198" s="4" t="s">
        <v>38</v>
      </c>
      <c r="H198" s="4" t="s">
        <v>88</v>
      </c>
      <c r="I198" s="4" t="s">
        <v>68</v>
      </c>
      <c r="J198" s="5">
        <v>13</v>
      </c>
      <c r="K198" s="5">
        <v>60.27</v>
      </c>
      <c r="L198" s="5">
        <v>783.51</v>
      </c>
      <c r="M198" s="5">
        <v>485.78</v>
      </c>
      <c r="N198" s="5">
        <v>297.73</v>
      </c>
    </row>
    <row r="199" spans="1:14">
      <c r="A199" s="2">
        <v>44984.416666666657</v>
      </c>
      <c r="B199" s="3">
        <v>2023</v>
      </c>
      <c r="C199" s="4" t="s">
        <v>59</v>
      </c>
      <c r="D199" s="4">
        <v>2</v>
      </c>
      <c r="E199" s="4" t="s">
        <v>2</v>
      </c>
      <c r="F199" s="4" t="s">
        <v>43</v>
      </c>
      <c r="G199" s="4" t="s">
        <v>38</v>
      </c>
      <c r="H199" s="4" t="s">
        <v>74</v>
      </c>
      <c r="I199" s="4" t="s">
        <v>71</v>
      </c>
      <c r="J199" s="5">
        <v>12</v>
      </c>
      <c r="K199" s="5">
        <v>161.71</v>
      </c>
      <c r="L199" s="5">
        <v>1940.52</v>
      </c>
      <c r="M199" s="5">
        <v>1203.1199999999999</v>
      </c>
      <c r="N199" s="5">
        <v>737.4</v>
      </c>
    </row>
    <row r="200" spans="1:14">
      <c r="A200" s="2">
        <v>45333.416666666657</v>
      </c>
      <c r="B200" s="3">
        <v>2024</v>
      </c>
      <c r="C200" s="4" t="s">
        <v>59</v>
      </c>
      <c r="D200" s="4">
        <v>2</v>
      </c>
      <c r="E200" s="4" t="s">
        <v>2</v>
      </c>
      <c r="F200" s="4" t="s">
        <v>40</v>
      </c>
      <c r="G200" s="4" t="s">
        <v>36</v>
      </c>
      <c r="H200" s="4" t="s">
        <v>75</v>
      </c>
      <c r="I200" s="4" t="s">
        <v>71</v>
      </c>
      <c r="J200" s="5">
        <v>21</v>
      </c>
      <c r="K200" s="5">
        <v>2446.54</v>
      </c>
      <c r="L200" s="5">
        <v>51377.34</v>
      </c>
      <c r="M200" s="5">
        <v>31853.95</v>
      </c>
      <c r="N200" s="5">
        <v>19523.39</v>
      </c>
    </row>
    <row r="201" spans="1:14">
      <c r="A201" s="2">
        <v>45713.416666666657</v>
      </c>
      <c r="B201" s="3">
        <v>2025</v>
      </c>
      <c r="C201" s="4" t="s">
        <v>59</v>
      </c>
      <c r="D201" s="4">
        <v>2</v>
      </c>
      <c r="E201" s="4" t="s">
        <v>2</v>
      </c>
      <c r="F201" s="4" t="s">
        <v>41</v>
      </c>
      <c r="G201" s="4" t="s">
        <v>36</v>
      </c>
      <c r="H201" s="4" t="s">
        <v>67</v>
      </c>
      <c r="I201" s="4" t="s">
        <v>61</v>
      </c>
      <c r="J201" s="5">
        <v>22</v>
      </c>
      <c r="K201" s="5">
        <v>486.2</v>
      </c>
      <c r="L201" s="5">
        <v>10696.4</v>
      </c>
      <c r="M201" s="5">
        <v>6631.77</v>
      </c>
      <c r="N201" s="5">
        <v>4064.63</v>
      </c>
    </row>
    <row r="202" spans="1:14">
      <c r="A202" s="2">
        <v>44627.416666666657</v>
      </c>
      <c r="B202" s="3">
        <v>2022</v>
      </c>
      <c r="C202" s="4" t="s">
        <v>59</v>
      </c>
      <c r="D202" s="4">
        <v>3</v>
      </c>
      <c r="E202" s="4" t="s">
        <v>13</v>
      </c>
      <c r="F202" s="4" t="s">
        <v>44</v>
      </c>
      <c r="G202" s="4" t="s">
        <v>39</v>
      </c>
      <c r="H202" s="4" t="s">
        <v>89</v>
      </c>
      <c r="I202" s="4" t="s">
        <v>68</v>
      </c>
      <c r="J202" s="5">
        <v>3</v>
      </c>
      <c r="K202" s="5">
        <v>1607.34</v>
      </c>
      <c r="L202" s="5">
        <v>4822.0200000000004</v>
      </c>
      <c r="M202" s="5">
        <v>2989.65</v>
      </c>
      <c r="N202" s="5">
        <v>1832.37</v>
      </c>
    </row>
    <row r="203" spans="1:14">
      <c r="A203" s="2">
        <v>44987.416666666657</v>
      </c>
      <c r="B203" s="3">
        <v>2023</v>
      </c>
      <c r="C203" s="4" t="s">
        <v>59</v>
      </c>
      <c r="D203" s="4">
        <v>3</v>
      </c>
      <c r="E203" s="4" t="s">
        <v>13</v>
      </c>
      <c r="F203" s="4" t="s">
        <v>42</v>
      </c>
      <c r="G203" s="4" t="s">
        <v>37</v>
      </c>
      <c r="H203" s="4" t="s">
        <v>66</v>
      </c>
      <c r="I203" s="4" t="s">
        <v>65</v>
      </c>
      <c r="J203" s="5">
        <v>13</v>
      </c>
      <c r="K203" s="5">
        <v>125.08</v>
      </c>
      <c r="L203" s="5">
        <v>1626.04</v>
      </c>
      <c r="M203" s="5">
        <v>1008.14</v>
      </c>
      <c r="N203" s="5">
        <v>617.9</v>
      </c>
    </row>
    <row r="204" spans="1:14">
      <c r="A204" s="2">
        <v>45375.416666666657</v>
      </c>
      <c r="B204" s="3">
        <v>2024</v>
      </c>
      <c r="C204" s="4" t="s">
        <v>59</v>
      </c>
      <c r="D204" s="4">
        <v>3</v>
      </c>
      <c r="E204" s="4" t="s">
        <v>13</v>
      </c>
      <c r="F204" s="4" t="s">
        <v>43</v>
      </c>
      <c r="G204" s="4" t="s">
        <v>39</v>
      </c>
      <c r="H204" s="4" t="s">
        <v>60</v>
      </c>
      <c r="I204" s="4" t="s">
        <v>63</v>
      </c>
      <c r="J204" s="5">
        <v>4</v>
      </c>
      <c r="K204" s="5">
        <v>1990.35</v>
      </c>
      <c r="L204" s="5">
        <v>7961.4</v>
      </c>
      <c r="M204" s="5">
        <v>4936.07</v>
      </c>
      <c r="N204" s="5">
        <v>3025.33</v>
      </c>
    </row>
    <row r="205" spans="1:14">
      <c r="A205" s="2">
        <v>45740.416666666657</v>
      </c>
      <c r="B205" s="3">
        <v>2025</v>
      </c>
      <c r="C205" s="4" t="s">
        <v>59</v>
      </c>
      <c r="D205" s="4">
        <v>3</v>
      </c>
      <c r="E205" s="4" t="s">
        <v>13</v>
      </c>
      <c r="F205" s="4" t="s">
        <v>42</v>
      </c>
      <c r="G205" s="4" t="s">
        <v>35</v>
      </c>
      <c r="H205" s="4" t="s">
        <v>92</v>
      </c>
      <c r="I205" s="4" t="s">
        <v>61</v>
      </c>
      <c r="J205" s="5">
        <v>3</v>
      </c>
      <c r="K205" s="5">
        <v>115.54</v>
      </c>
      <c r="L205" s="5">
        <v>346.62</v>
      </c>
      <c r="M205" s="5">
        <v>214.9</v>
      </c>
      <c r="N205" s="5">
        <v>131.72</v>
      </c>
    </row>
    <row r="206" spans="1:14">
      <c r="A206" s="2">
        <v>44668.416666666657</v>
      </c>
      <c r="B206" s="3">
        <v>2022</v>
      </c>
      <c r="C206" s="4" t="s">
        <v>76</v>
      </c>
      <c r="D206" s="4">
        <v>4</v>
      </c>
      <c r="E206" s="4" t="s">
        <v>17</v>
      </c>
      <c r="F206" s="4" t="s">
        <v>44</v>
      </c>
      <c r="G206" s="4" t="s">
        <v>39</v>
      </c>
      <c r="H206" s="4" t="s">
        <v>79</v>
      </c>
      <c r="I206" s="4" t="s">
        <v>65</v>
      </c>
      <c r="J206" s="5">
        <v>8</v>
      </c>
      <c r="K206" s="5">
        <v>618.29</v>
      </c>
      <c r="L206" s="5">
        <v>4946.32</v>
      </c>
      <c r="M206" s="5">
        <v>3066.72</v>
      </c>
      <c r="N206" s="5">
        <v>1879.6</v>
      </c>
    </row>
    <row r="207" spans="1:14">
      <c r="A207" s="2">
        <v>45019.416666666657</v>
      </c>
      <c r="B207" s="3">
        <v>2023</v>
      </c>
      <c r="C207" s="4" t="s">
        <v>76</v>
      </c>
      <c r="D207" s="4">
        <v>4</v>
      </c>
      <c r="E207" s="4" t="s">
        <v>17</v>
      </c>
      <c r="F207" s="4" t="s">
        <v>43</v>
      </c>
      <c r="G207" s="4" t="s">
        <v>38</v>
      </c>
      <c r="H207" s="4" t="s">
        <v>77</v>
      </c>
      <c r="I207" s="4" t="s">
        <v>71</v>
      </c>
      <c r="J207" s="5">
        <v>3</v>
      </c>
      <c r="K207" s="5">
        <v>318.83999999999997</v>
      </c>
      <c r="L207" s="5">
        <v>956.52</v>
      </c>
      <c r="M207" s="5">
        <v>593.04</v>
      </c>
      <c r="N207" s="5">
        <v>363.48</v>
      </c>
    </row>
    <row r="208" spans="1:14">
      <c r="A208" s="2">
        <v>45392.416666666657</v>
      </c>
      <c r="B208" s="3">
        <v>2024</v>
      </c>
      <c r="C208" s="4" t="s">
        <v>76</v>
      </c>
      <c r="D208" s="4">
        <v>4</v>
      </c>
      <c r="E208" s="4" t="s">
        <v>17</v>
      </c>
      <c r="F208" s="4" t="s">
        <v>44</v>
      </c>
      <c r="G208" s="4" t="s">
        <v>39</v>
      </c>
      <c r="H208" s="4" t="s">
        <v>82</v>
      </c>
      <c r="I208" s="4" t="s">
        <v>65</v>
      </c>
      <c r="J208" s="5">
        <v>12</v>
      </c>
      <c r="K208" s="5">
        <v>5480.41</v>
      </c>
      <c r="L208" s="5">
        <v>65764.92</v>
      </c>
      <c r="M208" s="5">
        <v>40774.25</v>
      </c>
      <c r="N208" s="5">
        <v>24990.67</v>
      </c>
    </row>
    <row r="209" spans="1:14">
      <c r="A209" s="2">
        <v>45767.416666666657</v>
      </c>
      <c r="B209" s="3">
        <v>2025</v>
      </c>
      <c r="C209" s="4" t="s">
        <v>76</v>
      </c>
      <c r="D209" s="4">
        <v>4</v>
      </c>
      <c r="E209" s="4" t="s">
        <v>17</v>
      </c>
      <c r="F209" s="4" t="s">
        <v>43</v>
      </c>
      <c r="G209" s="4" t="s">
        <v>38</v>
      </c>
      <c r="H209" s="4" t="s">
        <v>83</v>
      </c>
      <c r="I209" s="4" t="s">
        <v>65</v>
      </c>
      <c r="J209" s="5">
        <v>2</v>
      </c>
      <c r="K209" s="5">
        <v>188.61</v>
      </c>
      <c r="L209" s="5">
        <v>377.22</v>
      </c>
      <c r="M209" s="5">
        <v>233.88</v>
      </c>
      <c r="N209" s="5">
        <v>143.34</v>
      </c>
    </row>
    <row r="210" spans="1:14">
      <c r="A210" s="2">
        <v>44698.416666666657</v>
      </c>
      <c r="B210" s="3">
        <v>2022</v>
      </c>
      <c r="C210" s="4" t="s">
        <v>76</v>
      </c>
      <c r="D210" s="4">
        <v>5</v>
      </c>
      <c r="E210" s="4" t="s">
        <v>18</v>
      </c>
      <c r="F210" s="4" t="s">
        <v>41</v>
      </c>
      <c r="G210" s="4" t="s">
        <v>39</v>
      </c>
      <c r="H210" s="4" t="s">
        <v>89</v>
      </c>
      <c r="I210" s="4" t="s">
        <v>86</v>
      </c>
      <c r="J210" s="5">
        <v>8</v>
      </c>
      <c r="K210" s="5">
        <v>1768.1</v>
      </c>
      <c r="L210" s="5">
        <v>14144.8</v>
      </c>
      <c r="M210" s="5">
        <v>8769.7800000000007</v>
      </c>
      <c r="N210" s="5">
        <v>5375.02</v>
      </c>
    </row>
    <row r="211" spans="1:14">
      <c r="A211" s="2">
        <v>45066.416666666657</v>
      </c>
      <c r="B211" s="3">
        <v>2023</v>
      </c>
      <c r="C211" s="4" t="s">
        <v>76</v>
      </c>
      <c r="D211" s="4">
        <v>5</v>
      </c>
      <c r="E211" s="4" t="s">
        <v>18</v>
      </c>
      <c r="F211" s="4" t="s">
        <v>43</v>
      </c>
      <c r="G211" s="4" t="s">
        <v>37</v>
      </c>
      <c r="H211" s="4" t="s">
        <v>66</v>
      </c>
      <c r="I211" s="4" t="s">
        <v>65</v>
      </c>
      <c r="J211" s="5">
        <v>6</v>
      </c>
      <c r="K211" s="5">
        <v>286.12</v>
      </c>
      <c r="L211" s="5">
        <v>1716.72</v>
      </c>
      <c r="M211" s="5">
        <v>1064.3699999999999</v>
      </c>
      <c r="N211" s="5">
        <v>652.35</v>
      </c>
    </row>
    <row r="212" spans="1:14">
      <c r="A212" s="2">
        <v>45421.416666666657</v>
      </c>
      <c r="B212" s="3">
        <v>2024</v>
      </c>
      <c r="C212" s="4" t="s">
        <v>76</v>
      </c>
      <c r="D212" s="4">
        <v>5</v>
      </c>
      <c r="E212" s="4" t="s">
        <v>18</v>
      </c>
      <c r="F212" s="4" t="s">
        <v>43</v>
      </c>
      <c r="G212" s="4" t="s">
        <v>38</v>
      </c>
      <c r="H212" s="4" t="s">
        <v>72</v>
      </c>
      <c r="I212" s="4" t="s">
        <v>71</v>
      </c>
      <c r="J212" s="5">
        <v>7</v>
      </c>
      <c r="K212" s="5">
        <v>261.73</v>
      </c>
      <c r="L212" s="5">
        <v>1832.11</v>
      </c>
      <c r="M212" s="5">
        <v>1135.9100000000001</v>
      </c>
      <c r="N212" s="5">
        <v>696.2</v>
      </c>
    </row>
    <row r="213" spans="1:14">
      <c r="A213" s="2">
        <v>45788.416666666657</v>
      </c>
      <c r="B213" s="3">
        <v>2025</v>
      </c>
      <c r="C213" s="4" t="s">
        <v>76</v>
      </c>
      <c r="D213" s="4">
        <v>5</v>
      </c>
      <c r="E213" s="4" t="s">
        <v>18</v>
      </c>
      <c r="F213" s="4" t="s">
        <v>42</v>
      </c>
      <c r="G213" s="4" t="s">
        <v>35</v>
      </c>
      <c r="H213" s="4" t="s">
        <v>69</v>
      </c>
      <c r="I213" s="4" t="s">
        <v>68</v>
      </c>
      <c r="J213" s="5">
        <v>23</v>
      </c>
      <c r="K213" s="5">
        <v>86.38</v>
      </c>
      <c r="L213" s="5">
        <v>1986.74</v>
      </c>
      <c r="M213" s="5">
        <v>1231.78</v>
      </c>
      <c r="N213" s="5">
        <v>754.96</v>
      </c>
    </row>
    <row r="214" spans="1:14">
      <c r="A214" s="2">
        <v>44737.416666666657</v>
      </c>
      <c r="B214" s="3">
        <v>2022</v>
      </c>
      <c r="C214" s="4" t="s">
        <v>76</v>
      </c>
      <c r="D214" s="4">
        <v>6</v>
      </c>
      <c r="E214" s="4" t="s">
        <v>19</v>
      </c>
      <c r="F214" s="4" t="s">
        <v>41</v>
      </c>
      <c r="G214" s="4" t="s">
        <v>39</v>
      </c>
      <c r="H214" s="4" t="s">
        <v>82</v>
      </c>
      <c r="I214" s="4" t="s">
        <v>86</v>
      </c>
      <c r="J214" s="5">
        <v>4</v>
      </c>
      <c r="K214" s="5">
        <v>2950.1</v>
      </c>
      <c r="L214" s="5">
        <v>11800.4</v>
      </c>
      <c r="M214" s="5">
        <v>7316.25</v>
      </c>
      <c r="N214" s="5">
        <v>4484.1499999999996</v>
      </c>
    </row>
    <row r="215" spans="1:14">
      <c r="A215" s="2">
        <v>45093.416666666657</v>
      </c>
      <c r="B215" s="3">
        <v>2023</v>
      </c>
      <c r="C215" s="4" t="s">
        <v>76</v>
      </c>
      <c r="D215" s="4">
        <v>6</v>
      </c>
      <c r="E215" s="4" t="s">
        <v>19</v>
      </c>
      <c r="F215" s="4" t="s">
        <v>41</v>
      </c>
      <c r="G215" s="4" t="s">
        <v>37</v>
      </c>
      <c r="H215" s="4" t="s">
        <v>93</v>
      </c>
      <c r="I215" s="4" t="s">
        <v>71</v>
      </c>
      <c r="J215" s="5">
        <v>3</v>
      </c>
      <c r="K215" s="5">
        <v>290.3</v>
      </c>
      <c r="L215" s="5">
        <v>870.9</v>
      </c>
      <c r="M215" s="5">
        <v>539.96</v>
      </c>
      <c r="N215" s="5">
        <v>330.94</v>
      </c>
    </row>
    <row r="216" spans="1:14">
      <c r="A216" s="2">
        <v>45452.416666666657</v>
      </c>
      <c r="B216" s="3">
        <v>2024</v>
      </c>
      <c r="C216" s="4" t="s">
        <v>76</v>
      </c>
      <c r="D216" s="4">
        <v>6</v>
      </c>
      <c r="E216" s="4" t="s">
        <v>19</v>
      </c>
      <c r="F216" s="4" t="s">
        <v>43</v>
      </c>
      <c r="G216" s="4" t="s">
        <v>38</v>
      </c>
      <c r="H216" s="4" t="s">
        <v>88</v>
      </c>
      <c r="I216" s="4" t="s">
        <v>71</v>
      </c>
      <c r="J216" s="5">
        <v>15</v>
      </c>
      <c r="K216" s="5">
        <v>84.94</v>
      </c>
      <c r="L216" s="5">
        <v>1274.0999999999999</v>
      </c>
      <c r="M216" s="5">
        <v>789.94</v>
      </c>
      <c r="N216" s="5">
        <v>484.16</v>
      </c>
    </row>
    <row r="217" spans="1:14">
      <c r="A217" s="2">
        <v>45813.416666666657</v>
      </c>
      <c r="B217" s="3">
        <v>2025</v>
      </c>
      <c r="C217" s="4" t="s">
        <v>76</v>
      </c>
      <c r="D217" s="4">
        <v>6</v>
      </c>
      <c r="E217" s="4" t="s">
        <v>19</v>
      </c>
      <c r="F217" s="4" t="s">
        <v>42</v>
      </c>
      <c r="G217" s="4" t="s">
        <v>38</v>
      </c>
      <c r="H217" s="4" t="s">
        <v>72</v>
      </c>
      <c r="I217" s="4" t="s">
        <v>63</v>
      </c>
      <c r="J217" s="5">
        <v>27</v>
      </c>
      <c r="K217" s="5">
        <v>342.9</v>
      </c>
      <c r="L217" s="5">
        <v>9258.2999999999993</v>
      </c>
      <c r="M217" s="5">
        <v>5740.15</v>
      </c>
      <c r="N217" s="5">
        <v>3518.15</v>
      </c>
    </row>
    <row r="218" spans="1:14">
      <c r="A218" s="2">
        <v>44758.416666666657</v>
      </c>
      <c r="B218" s="3">
        <v>2022</v>
      </c>
      <c r="C218" s="4" t="s">
        <v>80</v>
      </c>
      <c r="D218" s="4">
        <v>7</v>
      </c>
      <c r="E218" s="4" t="s">
        <v>21</v>
      </c>
      <c r="F218" s="4" t="s">
        <v>40</v>
      </c>
      <c r="G218" s="4" t="s">
        <v>35</v>
      </c>
      <c r="H218" s="4" t="s">
        <v>70</v>
      </c>
      <c r="I218" s="4" t="s">
        <v>68</v>
      </c>
      <c r="J218" s="5">
        <v>19</v>
      </c>
      <c r="K218" s="5">
        <v>66.400000000000006</v>
      </c>
      <c r="L218" s="5">
        <v>1261.5999999999999</v>
      </c>
      <c r="M218" s="5">
        <v>782.19</v>
      </c>
      <c r="N218" s="5">
        <v>479.41</v>
      </c>
    </row>
    <row r="219" spans="1:14">
      <c r="A219" s="2">
        <v>45129.416666666657</v>
      </c>
      <c r="B219" s="3">
        <v>2023</v>
      </c>
      <c r="C219" s="4" t="s">
        <v>80</v>
      </c>
      <c r="D219" s="4">
        <v>7</v>
      </c>
      <c r="E219" s="4" t="s">
        <v>21</v>
      </c>
      <c r="F219" s="4" t="s">
        <v>42</v>
      </c>
      <c r="G219" s="4" t="s">
        <v>36</v>
      </c>
      <c r="H219" s="4" t="s">
        <v>81</v>
      </c>
      <c r="I219" s="4" t="s">
        <v>68</v>
      </c>
      <c r="J219" s="5">
        <v>12</v>
      </c>
      <c r="K219" s="5">
        <v>2542.0100000000002</v>
      </c>
      <c r="L219" s="5">
        <v>30504.12</v>
      </c>
      <c r="M219" s="5">
        <v>18912.55</v>
      </c>
      <c r="N219" s="5">
        <v>11591.57</v>
      </c>
    </row>
    <row r="220" spans="1:14">
      <c r="A220" s="2">
        <v>45485.416666666657</v>
      </c>
      <c r="B220" s="3">
        <v>2024</v>
      </c>
      <c r="C220" s="4" t="s">
        <v>80</v>
      </c>
      <c r="D220" s="4">
        <v>7</v>
      </c>
      <c r="E220" s="4" t="s">
        <v>21</v>
      </c>
      <c r="F220" s="4" t="s">
        <v>40</v>
      </c>
      <c r="G220" s="4" t="s">
        <v>38</v>
      </c>
      <c r="H220" s="4" t="s">
        <v>77</v>
      </c>
      <c r="I220" s="4" t="s">
        <v>68</v>
      </c>
      <c r="J220" s="5">
        <v>14</v>
      </c>
      <c r="K220" s="5">
        <v>375.94</v>
      </c>
      <c r="L220" s="5">
        <v>5263.16</v>
      </c>
      <c r="M220" s="5">
        <v>3263.16</v>
      </c>
      <c r="N220" s="5">
        <v>2000</v>
      </c>
    </row>
    <row r="221" spans="1:14">
      <c r="A221" s="2">
        <v>45854.416666666657</v>
      </c>
      <c r="B221" s="3">
        <v>2025</v>
      </c>
      <c r="C221" s="4" t="s">
        <v>80</v>
      </c>
      <c r="D221" s="4">
        <v>7</v>
      </c>
      <c r="E221" s="4" t="s">
        <v>21</v>
      </c>
      <c r="F221" s="4" t="s">
        <v>44</v>
      </c>
      <c r="G221" s="4" t="s">
        <v>37</v>
      </c>
      <c r="H221" s="4" t="s">
        <v>66</v>
      </c>
      <c r="I221" s="4" t="s">
        <v>86</v>
      </c>
      <c r="J221" s="5">
        <v>20</v>
      </c>
      <c r="K221" s="5">
        <v>285.77999999999997</v>
      </c>
      <c r="L221" s="5">
        <v>5715.6</v>
      </c>
      <c r="M221" s="5">
        <v>3543.67</v>
      </c>
      <c r="N221" s="5">
        <v>2171.9299999999998</v>
      </c>
    </row>
    <row r="222" spans="1:14">
      <c r="A222" s="2">
        <v>44780.416666666657</v>
      </c>
      <c r="B222" s="3">
        <v>2022</v>
      </c>
      <c r="C222" s="4" t="s">
        <v>80</v>
      </c>
      <c r="D222" s="4">
        <v>8</v>
      </c>
      <c r="E222" s="4" t="s">
        <v>22</v>
      </c>
      <c r="F222" s="4" t="s">
        <v>43</v>
      </c>
      <c r="G222" s="4" t="s">
        <v>37</v>
      </c>
      <c r="H222" s="4" t="s">
        <v>66</v>
      </c>
      <c r="I222" s="4" t="s">
        <v>63</v>
      </c>
      <c r="J222" s="5">
        <v>9</v>
      </c>
      <c r="K222" s="5">
        <v>332.4</v>
      </c>
      <c r="L222" s="5">
        <v>2991.6</v>
      </c>
      <c r="M222" s="5">
        <v>1854.79</v>
      </c>
      <c r="N222" s="5">
        <v>1136.81</v>
      </c>
    </row>
    <row r="223" spans="1:14">
      <c r="A223" s="2">
        <v>45158.416666666657</v>
      </c>
      <c r="B223" s="3">
        <v>2023</v>
      </c>
      <c r="C223" s="4" t="s">
        <v>80</v>
      </c>
      <c r="D223" s="4">
        <v>8</v>
      </c>
      <c r="E223" s="4" t="s">
        <v>22</v>
      </c>
      <c r="F223" s="4" t="s">
        <v>44</v>
      </c>
      <c r="G223" s="4" t="s">
        <v>35</v>
      </c>
      <c r="H223" s="4" t="s">
        <v>92</v>
      </c>
      <c r="I223" s="4" t="s">
        <v>71</v>
      </c>
      <c r="J223" s="5">
        <v>8</v>
      </c>
      <c r="K223" s="5">
        <v>121.87</v>
      </c>
      <c r="L223" s="5">
        <v>974.96</v>
      </c>
      <c r="M223" s="5">
        <v>604.48</v>
      </c>
      <c r="N223" s="5">
        <v>370.48</v>
      </c>
    </row>
    <row r="224" spans="1:14">
      <c r="A224" s="2">
        <v>45520.416666666657</v>
      </c>
      <c r="B224" s="3">
        <v>2024</v>
      </c>
      <c r="C224" s="4" t="s">
        <v>80</v>
      </c>
      <c r="D224" s="4">
        <v>8</v>
      </c>
      <c r="E224" s="4" t="s">
        <v>22</v>
      </c>
      <c r="F224" s="4" t="s">
        <v>42</v>
      </c>
      <c r="G224" s="4" t="s">
        <v>35</v>
      </c>
      <c r="H224" s="4" t="s">
        <v>69</v>
      </c>
      <c r="I224" s="4" t="s">
        <v>63</v>
      </c>
      <c r="J224" s="5">
        <v>5</v>
      </c>
      <c r="K224" s="5">
        <v>104.92</v>
      </c>
      <c r="L224" s="5">
        <v>524.6</v>
      </c>
      <c r="M224" s="5">
        <v>325.25</v>
      </c>
      <c r="N224" s="5">
        <v>199.35</v>
      </c>
    </row>
    <row r="225" spans="1:14">
      <c r="A225" s="2">
        <v>45876.416666666657</v>
      </c>
      <c r="B225" s="3">
        <v>2025</v>
      </c>
      <c r="C225" s="4" t="s">
        <v>80</v>
      </c>
      <c r="D225" s="4">
        <v>8</v>
      </c>
      <c r="E225" s="4" t="s">
        <v>22</v>
      </c>
      <c r="F225" s="4" t="s">
        <v>44</v>
      </c>
      <c r="G225" s="4" t="s">
        <v>39</v>
      </c>
      <c r="H225" s="4" t="s">
        <v>79</v>
      </c>
      <c r="I225" s="4" t="s">
        <v>65</v>
      </c>
      <c r="J225" s="5">
        <v>12</v>
      </c>
      <c r="K225" s="5">
        <v>5186.45</v>
      </c>
      <c r="L225" s="5">
        <v>62237.4</v>
      </c>
      <c r="M225" s="5">
        <v>38587.19</v>
      </c>
      <c r="N225" s="5">
        <v>23650.21</v>
      </c>
    </row>
    <row r="226" spans="1:14">
      <c r="A226" s="2">
        <v>44826.416666666657</v>
      </c>
      <c r="B226" s="3">
        <v>2022</v>
      </c>
      <c r="C226" s="4" t="s">
        <v>80</v>
      </c>
      <c r="D226" s="4">
        <v>9</v>
      </c>
      <c r="E226" s="4" t="s">
        <v>23</v>
      </c>
      <c r="F226" s="4" t="s">
        <v>40</v>
      </c>
      <c r="G226" s="4" t="s">
        <v>35</v>
      </c>
      <c r="H226" s="4" t="s">
        <v>64</v>
      </c>
      <c r="I226" s="4" t="s">
        <v>86</v>
      </c>
      <c r="J226" s="5">
        <v>13</v>
      </c>
      <c r="K226" s="5">
        <v>95.74</v>
      </c>
      <c r="L226" s="5">
        <v>1244.6199999999999</v>
      </c>
      <c r="M226" s="5">
        <v>771.66</v>
      </c>
      <c r="N226" s="5">
        <v>472.96</v>
      </c>
    </row>
    <row r="227" spans="1:14">
      <c r="A227" s="2">
        <v>45195.416666666657</v>
      </c>
      <c r="B227" s="3">
        <v>2023</v>
      </c>
      <c r="C227" s="4" t="s">
        <v>80</v>
      </c>
      <c r="D227" s="4">
        <v>9</v>
      </c>
      <c r="E227" s="4" t="s">
        <v>23</v>
      </c>
      <c r="F227" s="4" t="s">
        <v>44</v>
      </c>
      <c r="G227" s="4" t="s">
        <v>37</v>
      </c>
      <c r="H227" s="4" t="s">
        <v>66</v>
      </c>
      <c r="I227" s="4" t="s">
        <v>86</v>
      </c>
      <c r="J227" s="5">
        <v>8</v>
      </c>
      <c r="K227" s="5">
        <v>315.44</v>
      </c>
      <c r="L227" s="5">
        <v>2523.52</v>
      </c>
      <c r="M227" s="5">
        <v>1564.58</v>
      </c>
      <c r="N227" s="5">
        <v>958.94</v>
      </c>
    </row>
    <row r="228" spans="1:14">
      <c r="A228" s="2">
        <v>45546.416666666657</v>
      </c>
      <c r="B228" s="3">
        <v>2024</v>
      </c>
      <c r="C228" s="4" t="s">
        <v>80</v>
      </c>
      <c r="D228" s="4">
        <v>9</v>
      </c>
      <c r="E228" s="4" t="s">
        <v>23</v>
      </c>
      <c r="F228" s="4" t="s">
        <v>40</v>
      </c>
      <c r="G228" s="4" t="s">
        <v>39</v>
      </c>
      <c r="H228" s="4" t="s">
        <v>82</v>
      </c>
      <c r="I228" s="4" t="s">
        <v>63</v>
      </c>
      <c r="J228" s="5">
        <v>48</v>
      </c>
      <c r="K228" s="5">
        <v>4064.09</v>
      </c>
      <c r="L228" s="5">
        <v>195076.32</v>
      </c>
      <c r="M228" s="5">
        <v>120947.32</v>
      </c>
      <c r="N228" s="5">
        <v>74129</v>
      </c>
    </row>
    <row r="229" spans="1:14">
      <c r="A229" s="2">
        <v>45915.416666666657</v>
      </c>
      <c r="B229" s="3">
        <v>2025</v>
      </c>
      <c r="C229" s="4" t="s">
        <v>80</v>
      </c>
      <c r="D229" s="4">
        <v>9</v>
      </c>
      <c r="E229" s="4" t="s">
        <v>23</v>
      </c>
      <c r="F229" s="4" t="s">
        <v>40</v>
      </c>
      <c r="G229" s="4" t="s">
        <v>35</v>
      </c>
      <c r="H229" s="4" t="s">
        <v>92</v>
      </c>
      <c r="I229" s="4" t="s">
        <v>86</v>
      </c>
      <c r="J229" s="5">
        <v>28</v>
      </c>
      <c r="K229" s="5">
        <v>94.62</v>
      </c>
      <c r="L229" s="5">
        <v>2649.36</v>
      </c>
      <c r="M229" s="5">
        <v>1642.6</v>
      </c>
      <c r="N229" s="5">
        <v>1006.76</v>
      </c>
    </row>
    <row r="230" spans="1:14">
      <c r="A230" s="2">
        <v>44840.416666666657</v>
      </c>
      <c r="B230" s="3">
        <v>2022</v>
      </c>
      <c r="C230" s="4" t="s">
        <v>85</v>
      </c>
      <c r="D230" s="4">
        <v>10</v>
      </c>
      <c r="E230" s="4" t="s">
        <v>29</v>
      </c>
      <c r="F230" s="4" t="s">
        <v>41</v>
      </c>
      <c r="G230" s="4" t="s">
        <v>38</v>
      </c>
      <c r="H230" s="4" t="s">
        <v>74</v>
      </c>
      <c r="I230" s="4" t="s">
        <v>61</v>
      </c>
      <c r="J230" s="5">
        <v>3</v>
      </c>
      <c r="K230" s="5">
        <v>370.53</v>
      </c>
      <c r="L230" s="5">
        <v>1111.5899999999999</v>
      </c>
      <c r="M230" s="5">
        <v>689.19</v>
      </c>
      <c r="N230" s="5">
        <v>422.4</v>
      </c>
    </row>
    <row r="231" spans="1:14">
      <c r="A231" s="2">
        <v>45207.416666666657</v>
      </c>
      <c r="B231" s="3">
        <v>2023</v>
      </c>
      <c r="C231" s="4" t="s">
        <v>85</v>
      </c>
      <c r="D231" s="4">
        <v>10</v>
      </c>
      <c r="E231" s="4" t="s">
        <v>29</v>
      </c>
      <c r="F231" s="4" t="s">
        <v>44</v>
      </c>
      <c r="G231" s="4" t="s">
        <v>38</v>
      </c>
      <c r="H231" s="4" t="s">
        <v>88</v>
      </c>
      <c r="I231" s="4" t="s">
        <v>71</v>
      </c>
      <c r="J231" s="5">
        <v>7</v>
      </c>
      <c r="K231" s="5">
        <v>269.58</v>
      </c>
      <c r="L231" s="5">
        <v>1887.06</v>
      </c>
      <c r="M231" s="5">
        <v>1169.98</v>
      </c>
      <c r="N231" s="5">
        <v>717.08</v>
      </c>
    </row>
    <row r="232" spans="1:14">
      <c r="A232" s="2">
        <v>45583.416666666657</v>
      </c>
      <c r="B232" s="3">
        <v>2024</v>
      </c>
      <c r="C232" s="4" t="s">
        <v>85</v>
      </c>
      <c r="D232" s="4">
        <v>10</v>
      </c>
      <c r="E232" s="4" t="s">
        <v>29</v>
      </c>
      <c r="F232" s="4" t="s">
        <v>43</v>
      </c>
      <c r="G232" s="4" t="s">
        <v>36</v>
      </c>
      <c r="H232" s="4" t="s">
        <v>75</v>
      </c>
      <c r="I232" s="4" t="s">
        <v>86</v>
      </c>
      <c r="J232" s="5">
        <v>22</v>
      </c>
      <c r="K232" s="5">
        <v>894.05</v>
      </c>
      <c r="L232" s="5">
        <v>19669.099999999999</v>
      </c>
      <c r="M232" s="5">
        <v>12194.84</v>
      </c>
      <c r="N232" s="5">
        <v>7474.26</v>
      </c>
    </row>
    <row r="233" spans="1:14">
      <c r="A233" s="2">
        <v>45937.416666666657</v>
      </c>
      <c r="B233" s="3">
        <v>2025</v>
      </c>
      <c r="C233" s="4" t="s">
        <v>85</v>
      </c>
      <c r="D233" s="4">
        <v>10</v>
      </c>
      <c r="E233" s="4" t="s">
        <v>29</v>
      </c>
      <c r="F233" s="4" t="s">
        <v>41</v>
      </c>
      <c r="G233" s="4" t="s">
        <v>37</v>
      </c>
      <c r="H233" s="4" t="s">
        <v>84</v>
      </c>
      <c r="I233" s="4" t="s">
        <v>68</v>
      </c>
      <c r="J233" s="5">
        <v>3</v>
      </c>
      <c r="K233" s="5">
        <v>455.1</v>
      </c>
      <c r="L233" s="5">
        <v>1365.3</v>
      </c>
      <c r="M233" s="5">
        <v>846.49</v>
      </c>
      <c r="N233" s="5">
        <v>518.80999999999995</v>
      </c>
    </row>
    <row r="234" spans="1:14">
      <c r="A234" s="2">
        <v>44875.416666666657</v>
      </c>
      <c r="B234" s="3">
        <v>2022</v>
      </c>
      <c r="C234" s="4" t="s">
        <v>85</v>
      </c>
      <c r="D234" s="4">
        <v>11</v>
      </c>
      <c r="E234" s="4" t="s">
        <v>30</v>
      </c>
      <c r="F234" s="4" t="s">
        <v>41</v>
      </c>
      <c r="G234" s="4" t="s">
        <v>35</v>
      </c>
      <c r="H234" s="4" t="s">
        <v>64</v>
      </c>
      <c r="I234" s="4" t="s">
        <v>86</v>
      </c>
      <c r="J234" s="5">
        <v>18</v>
      </c>
      <c r="K234" s="5">
        <v>23.26</v>
      </c>
      <c r="L234" s="5">
        <v>418.68</v>
      </c>
      <c r="M234" s="5">
        <v>259.58</v>
      </c>
      <c r="N234" s="5">
        <v>159.1</v>
      </c>
    </row>
    <row r="235" spans="1:14">
      <c r="A235" s="2">
        <v>45239.416666666657</v>
      </c>
      <c r="B235" s="3">
        <v>2023</v>
      </c>
      <c r="C235" s="4" t="s">
        <v>85</v>
      </c>
      <c r="D235" s="4">
        <v>11</v>
      </c>
      <c r="E235" s="4" t="s">
        <v>30</v>
      </c>
      <c r="F235" s="4" t="s">
        <v>44</v>
      </c>
      <c r="G235" s="4" t="s">
        <v>39</v>
      </c>
      <c r="H235" s="4" t="s">
        <v>60</v>
      </c>
      <c r="I235" s="4" t="s">
        <v>61</v>
      </c>
      <c r="J235" s="5">
        <v>33</v>
      </c>
      <c r="K235" s="5">
        <v>567.70000000000005</v>
      </c>
      <c r="L235" s="5">
        <v>18734.099999999999</v>
      </c>
      <c r="M235" s="5">
        <v>11615.14</v>
      </c>
      <c r="N235" s="5">
        <v>7118.96</v>
      </c>
    </row>
    <row r="236" spans="1:14">
      <c r="A236" s="2">
        <v>45600.416666666657</v>
      </c>
      <c r="B236" s="3">
        <v>2024</v>
      </c>
      <c r="C236" s="4" t="s">
        <v>85</v>
      </c>
      <c r="D236" s="4">
        <v>11</v>
      </c>
      <c r="E236" s="4" t="s">
        <v>30</v>
      </c>
      <c r="F236" s="4" t="s">
        <v>41</v>
      </c>
      <c r="G236" s="4" t="s">
        <v>39</v>
      </c>
      <c r="H236" s="4" t="s">
        <v>60</v>
      </c>
      <c r="I236" s="4" t="s">
        <v>86</v>
      </c>
      <c r="J236" s="5">
        <v>4</v>
      </c>
      <c r="K236" s="5">
        <v>5305.36</v>
      </c>
      <c r="L236" s="5">
        <v>21221.439999999999</v>
      </c>
      <c r="M236" s="5">
        <v>13157.29</v>
      </c>
      <c r="N236" s="5">
        <v>8064.15</v>
      </c>
    </row>
    <row r="237" spans="1:14">
      <c r="A237" s="2">
        <v>45962.416666666657</v>
      </c>
      <c r="B237" s="3">
        <v>2025</v>
      </c>
      <c r="C237" s="4" t="s">
        <v>85</v>
      </c>
      <c r="D237" s="4">
        <v>11</v>
      </c>
      <c r="E237" s="4" t="s">
        <v>30</v>
      </c>
      <c r="F237" s="4" t="s">
        <v>41</v>
      </c>
      <c r="G237" s="4" t="s">
        <v>39</v>
      </c>
      <c r="H237" s="4" t="s">
        <v>78</v>
      </c>
      <c r="I237" s="4" t="s">
        <v>68</v>
      </c>
      <c r="J237" s="5">
        <v>19</v>
      </c>
      <c r="K237" s="5">
        <v>5371.51</v>
      </c>
      <c r="L237" s="5">
        <v>102058.69</v>
      </c>
      <c r="M237" s="5">
        <v>63276.39</v>
      </c>
      <c r="N237" s="5">
        <v>38782.300000000003</v>
      </c>
    </row>
    <row r="238" spans="1:14">
      <c r="A238" s="2">
        <v>44897.416666666657</v>
      </c>
      <c r="B238" s="3">
        <v>2022</v>
      </c>
      <c r="C238" s="4" t="s">
        <v>85</v>
      </c>
      <c r="D238" s="4">
        <v>12</v>
      </c>
      <c r="E238" s="4" t="s">
        <v>31</v>
      </c>
      <c r="F238" s="4" t="s">
        <v>42</v>
      </c>
      <c r="G238" s="4" t="s">
        <v>38</v>
      </c>
      <c r="H238" s="4" t="s">
        <v>72</v>
      </c>
      <c r="I238" s="4" t="s">
        <v>65</v>
      </c>
      <c r="J238" s="5">
        <v>14</v>
      </c>
      <c r="K238" s="5">
        <v>84.36</v>
      </c>
      <c r="L238" s="5">
        <v>1181.04</v>
      </c>
      <c r="M238" s="5">
        <v>732.24</v>
      </c>
      <c r="N238" s="5">
        <v>448.8</v>
      </c>
    </row>
    <row r="239" spans="1:14">
      <c r="A239" s="2">
        <v>45285.416666666657</v>
      </c>
      <c r="B239" s="3">
        <v>2023</v>
      </c>
      <c r="C239" s="4" t="s">
        <v>85</v>
      </c>
      <c r="D239" s="4">
        <v>12</v>
      </c>
      <c r="E239" s="4" t="s">
        <v>31</v>
      </c>
      <c r="F239" s="4" t="s">
        <v>44</v>
      </c>
      <c r="G239" s="4" t="s">
        <v>38</v>
      </c>
      <c r="H239" s="4" t="s">
        <v>88</v>
      </c>
      <c r="I239" s="4" t="s">
        <v>68</v>
      </c>
      <c r="J239" s="5">
        <v>36</v>
      </c>
      <c r="K239" s="5">
        <v>141.35</v>
      </c>
      <c r="L239" s="5">
        <v>5088.6000000000004</v>
      </c>
      <c r="M239" s="5">
        <v>3154.93</v>
      </c>
      <c r="N239" s="5">
        <v>1933.67</v>
      </c>
    </row>
    <row r="240" spans="1:14">
      <c r="A240" s="2">
        <v>45643.416666666657</v>
      </c>
      <c r="B240" s="3">
        <v>2024</v>
      </c>
      <c r="C240" s="4" t="s">
        <v>85</v>
      </c>
      <c r="D240" s="4">
        <v>12</v>
      </c>
      <c r="E240" s="4" t="s">
        <v>31</v>
      </c>
      <c r="F240" s="4" t="s">
        <v>40</v>
      </c>
      <c r="G240" s="4" t="s">
        <v>35</v>
      </c>
      <c r="H240" s="4" t="s">
        <v>92</v>
      </c>
      <c r="I240" s="4" t="s">
        <v>63</v>
      </c>
      <c r="J240" s="5">
        <v>64</v>
      </c>
      <c r="K240" s="5">
        <v>35.14</v>
      </c>
      <c r="L240" s="5">
        <v>2248.96</v>
      </c>
      <c r="M240" s="5">
        <v>1394.36</v>
      </c>
      <c r="N240" s="5">
        <v>854.6</v>
      </c>
    </row>
    <row r="241" spans="1:14">
      <c r="A241" s="2">
        <v>46003.416666666657</v>
      </c>
      <c r="B241" s="3">
        <v>2025</v>
      </c>
      <c r="C241" s="4" t="s">
        <v>85</v>
      </c>
      <c r="D241" s="4">
        <v>12</v>
      </c>
      <c r="E241" s="4" t="s">
        <v>31</v>
      </c>
      <c r="F241" s="4" t="s">
        <v>40</v>
      </c>
      <c r="G241" s="4" t="s">
        <v>36</v>
      </c>
      <c r="H241" s="4" t="s">
        <v>67</v>
      </c>
      <c r="I241" s="4" t="s">
        <v>61</v>
      </c>
      <c r="J241" s="5">
        <v>23</v>
      </c>
      <c r="K241" s="5">
        <v>2286.41</v>
      </c>
      <c r="L241" s="5">
        <v>52587.43</v>
      </c>
      <c r="M241" s="5">
        <v>32604.21</v>
      </c>
      <c r="N241" s="5">
        <v>19983.22</v>
      </c>
    </row>
    <row r="242" spans="1:14">
      <c r="A242" s="2">
        <v>44568.416666666657</v>
      </c>
      <c r="B242" s="3">
        <v>2022</v>
      </c>
      <c r="C242" s="4" t="s">
        <v>59</v>
      </c>
      <c r="D242" s="4">
        <v>1</v>
      </c>
      <c r="E242" s="4" t="s">
        <v>1</v>
      </c>
      <c r="F242" s="4" t="s">
        <v>41</v>
      </c>
      <c r="G242" s="4" t="s">
        <v>38</v>
      </c>
      <c r="H242" s="4" t="s">
        <v>83</v>
      </c>
      <c r="I242" s="4" t="s">
        <v>61</v>
      </c>
      <c r="J242" s="5">
        <v>4</v>
      </c>
      <c r="K242" s="5">
        <v>309.52999999999997</v>
      </c>
      <c r="L242" s="5">
        <v>1238.1199999999999</v>
      </c>
      <c r="M242" s="5">
        <v>767.63</v>
      </c>
      <c r="N242" s="5">
        <v>470.49</v>
      </c>
    </row>
    <row r="243" spans="1:14">
      <c r="A243" s="2">
        <v>44942.416666666657</v>
      </c>
      <c r="B243" s="3">
        <v>2023</v>
      </c>
      <c r="C243" s="4" t="s">
        <v>59</v>
      </c>
      <c r="D243" s="4">
        <v>1</v>
      </c>
      <c r="E243" s="4" t="s">
        <v>1</v>
      </c>
      <c r="F243" s="4" t="s">
        <v>42</v>
      </c>
      <c r="G243" s="4" t="s">
        <v>36</v>
      </c>
      <c r="H243" s="4" t="s">
        <v>91</v>
      </c>
      <c r="I243" s="4" t="s">
        <v>63</v>
      </c>
      <c r="J243" s="5">
        <v>13</v>
      </c>
      <c r="K243" s="5">
        <v>2442.2600000000002</v>
      </c>
      <c r="L243" s="5">
        <v>31749.38</v>
      </c>
      <c r="M243" s="5">
        <v>19684.62</v>
      </c>
      <c r="N243" s="5">
        <v>12064.76</v>
      </c>
    </row>
    <row r="244" spans="1:14">
      <c r="A244" s="2">
        <v>45317.416666666657</v>
      </c>
      <c r="B244" s="3">
        <v>2024</v>
      </c>
      <c r="C244" s="4" t="s">
        <v>59</v>
      </c>
      <c r="D244" s="4">
        <v>1</v>
      </c>
      <c r="E244" s="4" t="s">
        <v>1</v>
      </c>
      <c r="F244" s="4" t="s">
        <v>44</v>
      </c>
      <c r="G244" s="4" t="s">
        <v>39</v>
      </c>
      <c r="H244" s="4" t="s">
        <v>60</v>
      </c>
      <c r="I244" s="4" t="s">
        <v>71</v>
      </c>
      <c r="J244" s="5">
        <v>13</v>
      </c>
      <c r="K244" s="5">
        <v>4510.1400000000003</v>
      </c>
      <c r="L244" s="5">
        <v>58631.82</v>
      </c>
      <c r="M244" s="5">
        <v>36351.730000000003</v>
      </c>
      <c r="N244" s="5">
        <v>22280.09</v>
      </c>
    </row>
    <row r="245" spans="1:14">
      <c r="A245" s="2">
        <v>45673.416666666657</v>
      </c>
      <c r="B245" s="3">
        <v>2025</v>
      </c>
      <c r="C245" s="4" t="s">
        <v>59</v>
      </c>
      <c r="D245" s="4">
        <v>1</v>
      </c>
      <c r="E245" s="4" t="s">
        <v>1</v>
      </c>
      <c r="F245" s="4" t="s">
        <v>44</v>
      </c>
      <c r="G245" s="4" t="s">
        <v>37</v>
      </c>
      <c r="H245" s="4" t="s">
        <v>84</v>
      </c>
      <c r="I245" s="4" t="s">
        <v>68</v>
      </c>
      <c r="J245" s="5">
        <v>31</v>
      </c>
      <c r="K245" s="5">
        <v>180.75</v>
      </c>
      <c r="L245" s="5">
        <v>5603.25</v>
      </c>
      <c r="M245" s="5">
        <v>3474.02</v>
      </c>
      <c r="N245" s="5">
        <v>2129.23</v>
      </c>
    </row>
    <row r="246" spans="1:14">
      <c r="A246" s="2">
        <v>44612.416666666657</v>
      </c>
      <c r="B246" s="3">
        <v>2022</v>
      </c>
      <c r="C246" s="4" t="s">
        <v>59</v>
      </c>
      <c r="D246" s="4">
        <v>2</v>
      </c>
      <c r="E246" s="4" t="s">
        <v>2</v>
      </c>
      <c r="F246" s="4" t="s">
        <v>43</v>
      </c>
      <c r="G246" s="4" t="s">
        <v>35</v>
      </c>
      <c r="H246" s="4" t="s">
        <v>92</v>
      </c>
      <c r="I246" s="4" t="s">
        <v>65</v>
      </c>
      <c r="J246" s="5">
        <v>3</v>
      </c>
      <c r="K246" s="5">
        <v>135.97999999999999</v>
      </c>
      <c r="L246" s="5">
        <v>407.94</v>
      </c>
      <c r="M246" s="5">
        <v>252.92</v>
      </c>
      <c r="N246" s="5">
        <v>155.02000000000001</v>
      </c>
    </row>
    <row r="247" spans="1:14">
      <c r="A247" s="2">
        <v>44975.416666666657</v>
      </c>
      <c r="B247" s="3">
        <v>2023</v>
      </c>
      <c r="C247" s="4" t="s">
        <v>59</v>
      </c>
      <c r="D247" s="4">
        <v>2</v>
      </c>
      <c r="E247" s="4" t="s">
        <v>2</v>
      </c>
      <c r="F247" s="4" t="s">
        <v>40</v>
      </c>
      <c r="G247" s="4" t="s">
        <v>38</v>
      </c>
      <c r="H247" s="4" t="s">
        <v>74</v>
      </c>
      <c r="I247" s="4" t="s">
        <v>86</v>
      </c>
      <c r="J247" s="5">
        <v>8</v>
      </c>
      <c r="K247" s="5">
        <v>366.32</v>
      </c>
      <c r="L247" s="5">
        <v>2930.56</v>
      </c>
      <c r="M247" s="5">
        <v>1816.95</v>
      </c>
      <c r="N247" s="5">
        <v>1113.6099999999999</v>
      </c>
    </row>
    <row r="248" spans="1:14">
      <c r="A248" s="2">
        <v>45325.416666666657</v>
      </c>
      <c r="B248" s="3">
        <v>2024</v>
      </c>
      <c r="C248" s="4" t="s">
        <v>59</v>
      </c>
      <c r="D248" s="4">
        <v>2</v>
      </c>
      <c r="E248" s="4" t="s">
        <v>2</v>
      </c>
      <c r="F248" s="4" t="s">
        <v>41</v>
      </c>
      <c r="G248" s="4" t="s">
        <v>37</v>
      </c>
      <c r="H248" s="4" t="s">
        <v>62</v>
      </c>
      <c r="I248" s="4" t="s">
        <v>63</v>
      </c>
      <c r="J248" s="5">
        <v>6</v>
      </c>
      <c r="K248" s="5">
        <v>52.73</v>
      </c>
      <c r="L248" s="5">
        <v>316.38</v>
      </c>
      <c r="M248" s="5">
        <v>196.16</v>
      </c>
      <c r="N248" s="5">
        <v>120.22</v>
      </c>
    </row>
    <row r="249" spans="1:14">
      <c r="A249" s="2">
        <v>45694.416666666657</v>
      </c>
      <c r="B249" s="3">
        <v>2025</v>
      </c>
      <c r="C249" s="4" t="s">
        <v>59</v>
      </c>
      <c r="D249" s="4">
        <v>2</v>
      </c>
      <c r="E249" s="4" t="s">
        <v>2</v>
      </c>
      <c r="F249" s="4" t="s">
        <v>42</v>
      </c>
      <c r="G249" s="4" t="s">
        <v>36</v>
      </c>
      <c r="H249" s="4" t="s">
        <v>81</v>
      </c>
      <c r="I249" s="4" t="s">
        <v>68</v>
      </c>
      <c r="J249" s="5">
        <v>5</v>
      </c>
      <c r="K249" s="5">
        <v>4072.55</v>
      </c>
      <c r="L249" s="5">
        <v>20362.75</v>
      </c>
      <c r="M249" s="5">
        <v>12624.9</v>
      </c>
      <c r="N249" s="5">
        <v>7737.85</v>
      </c>
    </row>
    <row r="250" spans="1:14">
      <c r="A250" s="2">
        <v>44641.416666666657</v>
      </c>
      <c r="B250" s="3">
        <v>2022</v>
      </c>
      <c r="C250" s="4" t="s">
        <v>59</v>
      </c>
      <c r="D250" s="4">
        <v>3</v>
      </c>
      <c r="E250" s="4" t="s">
        <v>13</v>
      </c>
      <c r="F250" s="4" t="s">
        <v>43</v>
      </c>
      <c r="G250" s="4" t="s">
        <v>35</v>
      </c>
      <c r="H250" s="4" t="s">
        <v>90</v>
      </c>
      <c r="I250" s="4" t="s">
        <v>63</v>
      </c>
      <c r="J250" s="5">
        <v>16</v>
      </c>
      <c r="K250" s="5">
        <v>107.52</v>
      </c>
      <c r="L250" s="5">
        <v>1720.32</v>
      </c>
      <c r="M250" s="5">
        <v>1066.5999999999999</v>
      </c>
      <c r="N250" s="5">
        <v>653.72</v>
      </c>
    </row>
    <row r="251" spans="1:14">
      <c r="A251" s="2">
        <v>44996.416666666657</v>
      </c>
      <c r="B251" s="3">
        <v>2023</v>
      </c>
      <c r="C251" s="4" t="s">
        <v>59</v>
      </c>
      <c r="D251" s="4">
        <v>3</v>
      </c>
      <c r="E251" s="4" t="s">
        <v>13</v>
      </c>
      <c r="F251" s="4" t="s">
        <v>44</v>
      </c>
      <c r="G251" s="4" t="s">
        <v>37</v>
      </c>
      <c r="H251" s="4" t="s">
        <v>87</v>
      </c>
      <c r="I251" s="4" t="s">
        <v>86</v>
      </c>
      <c r="J251" s="5">
        <v>17</v>
      </c>
      <c r="K251" s="5">
        <v>364.69</v>
      </c>
      <c r="L251" s="5">
        <v>6199.73</v>
      </c>
      <c r="M251" s="5">
        <v>3843.83</v>
      </c>
      <c r="N251" s="5">
        <v>2355.9</v>
      </c>
    </row>
    <row r="252" spans="1:14">
      <c r="A252" s="2">
        <v>45356.416666666657</v>
      </c>
      <c r="B252" s="3">
        <v>2024</v>
      </c>
      <c r="C252" s="4" t="s">
        <v>59</v>
      </c>
      <c r="D252" s="4">
        <v>3</v>
      </c>
      <c r="E252" s="4" t="s">
        <v>13</v>
      </c>
      <c r="F252" s="4" t="s">
        <v>44</v>
      </c>
      <c r="G252" s="4" t="s">
        <v>35</v>
      </c>
      <c r="H252" s="4" t="s">
        <v>92</v>
      </c>
      <c r="I252" s="4" t="s">
        <v>65</v>
      </c>
      <c r="J252" s="5">
        <v>11</v>
      </c>
      <c r="K252" s="5">
        <v>81.790000000000006</v>
      </c>
      <c r="L252" s="5">
        <v>899.69</v>
      </c>
      <c r="M252" s="5">
        <v>557.80999999999995</v>
      </c>
      <c r="N252" s="5">
        <v>341.88</v>
      </c>
    </row>
    <row r="253" spans="1:14">
      <c r="A253" s="2">
        <v>45733.416666666657</v>
      </c>
      <c r="B253" s="3">
        <v>2025</v>
      </c>
      <c r="C253" s="4" t="s">
        <v>59</v>
      </c>
      <c r="D253" s="4">
        <v>3</v>
      </c>
      <c r="E253" s="4" t="s">
        <v>13</v>
      </c>
      <c r="F253" s="4" t="s">
        <v>42</v>
      </c>
      <c r="G253" s="4" t="s">
        <v>37</v>
      </c>
      <c r="H253" s="4" t="s">
        <v>62</v>
      </c>
      <c r="I253" s="4" t="s">
        <v>86</v>
      </c>
      <c r="J253" s="5">
        <v>12</v>
      </c>
      <c r="K253" s="5">
        <v>439.85</v>
      </c>
      <c r="L253" s="5">
        <v>5278.2</v>
      </c>
      <c r="M253" s="5">
        <v>3272.48</v>
      </c>
      <c r="N253" s="5">
        <v>2005.72</v>
      </c>
    </row>
    <row r="254" spans="1:14">
      <c r="A254" s="2">
        <v>44667.416666666657</v>
      </c>
      <c r="B254" s="3">
        <v>2022</v>
      </c>
      <c r="C254" s="4" t="s">
        <v>76</v>
      </c>
      <c r="D254" s="4">
        <v>4</v>
      </c>
      <c r="E254" s="4" t="s">
        <v>17</v>
      </c>
      <c r="F254" s="4" t="s">
        <v>42</v>
      </c>
      <c r="G254" s="4" t="s">
        <v>35</v>
      </c>
      <c r="H254" s="4" t="s">
        <v>90</v>
      </c>
      <c r="I254" s="4" t="s">
        <v>61</v>
      </c>
      <c r="J254" s="5">
        <v>3</v>
      </c>
      <c r="K254" s="5">
        <v>71.58</v>
      </c>
      <c r="L254" s="5">
        <v>214.74</v>
      </c>
      <c r="M254" s="5">
        <v>133.13999999999999</v>
      </c>
      <c r="N254" s="5">
        <v>81.599999999999994</v>
      </c>
    </row>
    <row r="255" spans="1:14">
      <c r="A255" s="2">
        <v>45022.416666666657</v>
      </c>
      <c r="B255" s="3">
        <v>2023</v>
      </c>
      <c r="C255" s="4" t="s">
        <v>76</v>
      </c>
      <c r="D255" s="4">
        <v>4</v>
      </c>
      <c r="E255" s="4" t="s">
        <v>17</v>
      </c>
      <c r="F255" s="4" t="s">
        <v>43</v>
      </c>
      <c r="G255" s="4" t="s">
        <v>39</v>
      </c>
      <c r="H255" s="4" t="s">
        <v>60</v>
      </c>
      <c r="I255" s="4" t="s">
        <v>61</v>
      </c>
      <c r="J255" s="5">
        <v>10</v>
      </c>
      <c r="K255" s="5">
        <v>3544.64</v>
      </c>
      <c r="L255" s="5">
        <v>35446.400000000001</v>
      </c>
      <c r="M255" s="5">
        <v>21976.77</v>
      </c>
      <c r="N255" s="5">
        <v>13469.63</v>
      </c>
    </row>
    <row r="256" spans="1:14">
      <c r="A256" s="2">
        <v>45403.416666666657</v>
      </c>
      <c r="B256" s="3">
        <v>2024</v>
      </c>
      <c r="C256" s="4" t="s">
        <v>76</v>
      </c>
      <c r="D256" s="4">
        <v>4</v>
      </c>
      <c r="E256" s="4" t="s">
        <v>17</v>
      </c>
      <c r="F256" s="4" t="s">
        <v>41</v>
      </c>
      <c r="G256" s="4" t="s">
        <v>39</v>
      </c>
      <c r="H256" s="4" t="s">
        <v>82</v>
      </c>
      <c r="I256" s="4" t="s">
        <v>65</v>
      </c>
      <c r="J256" s="5">
        <v>10</v>
      </c>
      <c r="K256" s="5">
        <v>2146.2199999999998</v>
      </c>
      <c r="L256" s="5">
        <v>21462.2</v>
      </c>
      <c r="M256" s="5">
        <v>13306.56</v>
      </c>
      <c r="N256" s="5">
        <v>8155.64</v>
      </c>
    </row>
    <row r="257" spans="1:14">
      <c r="A257" s="2">
        <v>45754.416666666657</v>
      </c>
      <c r="B257" s="3">
        <v>2025</v>
      </c>
      <c r="C257" s="4" t="s">
        <v>76</v>
      </c>
      <c r="D257" s="4">
        <v>4</v>
      </c>
      <c r="E257" s="4" t="s">
        <v>17</v>
      </c>
      <c r="F257" s="4" t="s">
        <v>44</v>
      </c>
      <c r="G257" s="4" t="s">
        <v>36</v>
      </c>
      <c r="H257" s="4" t="s">
        <v>75</v>
      </c>
      <c r="I257" s="4" t="s">
        <v>86</v>
      </c>
      <c r="J257" s="5">
        <v>12</v>
      </c>
      <c r="K257" s="5">
        <v>2879.25</v>
      </c>
      <c r="L257" s="5">
        <v>34551</v>
      </c>
      <c r="M257" s="5">
        <v>21421.62</v>
      </c>
      <c r="N257" s="5">
        <v>13129.38</v>
      </c>
    </row>
    <row r="258" spans="1:14">
      <c r="A258" s="2">
        <v>44691.416666666657</v>
      </c>
      <c r="B258" s="3">
        <v>2022</v>
      </c>
      <c r="C258" s="4" t="s">
        <v>76</v>
      </c>
      <c r="D258" s="4">
        <v>5</v>
      </c>
      <c r="E258" s="4" t="s">
        <v>18</v>
      </c>
      <c r="F258" s="4" t="s">
        <v>43</v>
      </c>
      <c r="G258" s="4" t="s">
        <v>35</v>
      </c>
      <c r="H258" s="4" t="s">
        <v>90</v>
      </c>
      <c r="I258" s="4" t="s">
        <v>63</v>
      </c>
      <c r="J258" s="5">
        <v>7</v>
      </c>
      <c r="K258" s="5">
        <v>110.73</v>
      </c>
      <c r="L258" s="5">
        <v>775.11</v>
      </c>
      <c r="M258" s="5">
        <v>480.57</v>
      </c>
      <c r="N258" s="5">
        <v>294.54000000000002</v>
      </c>
    </row>
    <row r="259" spans="1:14">
      <c r="A259" s="2">
        <v>45070.416666666657</v>
      </c>
      <c r="B259" s="3">
        <v>2023</v>
      </c>
      <c r="C259" s="4" t="s">
        <v>76</v>
      </c>
      <c r="D259" s="4">
        <v>5</v>
      </c>
      <c r="E259" s="4" t="s">
        <v>18</v>
      </c>
      <c r="F259" s="4" t="s">
        <v>40</v>
      </c>
      <c r="G259" s="4" t="s">
        <v>35</v>
      </c>
      <c r="H259" s="4" t="s">
        <v>69</v>
      </c>
      <c r="I259" s="4" t="s">
        <v>63</v>
      </c>
      <c r="J259" s="5">
        <v>15</v>
      </c>
      <c r="K259" s="5">
        <v>36.72</v>
      </c>
      <c r="L259" s="5">
        <v>550.79999999999995</v>
      </c>
      <c r="M259" s="5">
        <v>341.5</v>
      </c>
      <c r="N259" s="5">
        <v>209.3</v>
      </c>
    </row>
    <row r="260" spans="1:14">
      <c r="A260" s="2">
        <v>45430.416666666657</v>
      </c>
      <c r="B260" s="3">
        <v>2024</v>
      </c>
      <c r="C260" s="4" t="s">
        <v>76</v>
      </c>
      <c r="D260" s="4">
        <v>5</v>
      </c>
      <c r="E260" s="4" t="s">
        <v>18</v>
      </c>
      <c r="F260" s="4" t="s">
        <v>44</v>
      </c>
      <c r="G260" s="4" t="s">
        <v>35</v>
      </c>
      <c r="H260" s="4" t="s">
        <v>70</v>
      </c>
      <c r="I260" s="4" t="s">
        <v>61</v>
      </c>
      <c r="J260" s="5">
        <v>22</v>
      </c>
      <c r="K260" s="5">
        <v>63.75</v>
      </c>
      <c r="L260" s="5">
        <v>1402.5</v>
      </c>
      <c r="M260" s="5">
        <v>869.55</v>
      </c>
      <c r="N260" s="5">
        <v>532.95000000000005</v>
      </c>
    </row>
    <row r="261" spans="1:14">
      <c r="A261" s="2">
        <v>45783.416666666657</v>
      </c>
      <c r="B261" s="3">
        <v>2025</v>
      </c>
      <c r="C261" s="4" t="s">
        <v>76</v>
      </c>
      <c r="D261" s="4">
        <v>5</v>
      </c>
      <c r="E261" s="4" t="s">
        <v>18</v>
      </c>
      <c r="F261" s="4" t="s">
        <v>41</v>
      </c>
      <c r="G261" s="4" t="s">
        <v>36</v>
      </c>
      <c r="H261" s="4" t="s">
        <v>81</v>
      </c>
      <c r="I261" s="4" t="s">
        <v>86</v>
      </c>
      <c r="J261" s="5">
        <v>22</v>
      </c>
      <c r="K261" s="5">
        <v>1443.28</v>
      </c>
      <c r="L261" s="5">
        <v>31752.16</v>
      </c>
      <c r="M261" s="5">
        <v>19686.34</v>
      </c>
      <c r="N261" s="5">
        <v>12065.82</v>
      </c>
    </row>
    <row r="262" spans="1:14">
      <c r="A262" s="2">
        <v>44732.416666666657</v>
      </c>
      <c r="B262" s="3">
        <v>2022</v>
      </c>
      <c r="C262" s="4" t="s">
        <v>76</v>
      </c>
      <c r="D262" s="4">
        <v>6</v>
      </c>
      <c r="E262" s="4" t="s">
        <v>19</v>
      </c>
      <c r="F262" s="4" t="s">
        <v>43</v>
      </c>
      <c r="G262" s="4" t="s">
        <v>39</v>
      </c>
      <c r="H262" s="4" t="s">
        <v>82</v>
      </c>
      <c r="I262" s="4" t="s">
        <v>65</v>
      </c>
      <c r="J262" s="5">
        <v>5</v>
      </c>
      <c r="K262" s="5">
        <v>5656.39</v>
      </c>
      <c r="L262" s="5">
        <v>28281.95</v>
      </c>
      <c r="M262" s="5">
        <v>17534.810000000001</v>
      </c>
      <c r="N262" s="5">
        <v>10747.14</v>
      </c>
    </row>
    <row r="263" spans="1:14">
      <c r="A263" s="2">
        <v>45102.416666666657</v>
      </c>
      <c r="B263" s="3">
        <v>2023</v>
      </c>
      <c r="C263" s="4" t="s">
        <v>76</v>
      </c>
      <c r="D263" s="4">
        <v>6</v>
      </c>
      <c r="E263" s="4" t="s">
        <v>19</v>
      </c>
      <c r="F263" s="4" t="s">
        <v>44</v>
      </c>
      <c r="G263" s="4" t="s">
        <v>39</v>
      </c>
      <c r="H263" s="4" t="s">
        <v>89</v>
      </c>
      <c r="I263" s="4" t="s">
        <v>68</v>
      </c>
      <c r="J263" s="5">
        <v>9</v>
      </c>
      <c r="K263" s="5">
        <v>1241.29</v>
      </c>
      <c r="L263" s="5">
        <v>11171.61</v>
      </c>
      <c r="M263" s="5">
        <v>6926.4</v>
      </c>
      <c r="N263" s="5">
        <v>4245.21</v>
      </c>
    </row>
    <row r="264" spans="1:14">
      <c r="A264" s="2">
        <v>45457.416666666657</v>
      </c>
      <c r="B264" s="3">
        <v>2024</v>
      </c>
      <c r="C264" s="4" t="s">
        <v>76</v>
      </c>
      <c r="D264" s="4">
        <v>6</v>
      </c>
      <c r="E264" s="4" t="s">
        <v>19</v>
      </c>
      <c r="F264" s="4" t="s">
        <v>44</v>
      </c>
      <c r="G264" s="4" t="s">
        <v>38</v>
      </c>
      <c r="H264" s="4" t="s">
        <v>77</v>
      </c>
      <c r="I264" s="4" t="s">
        <v>86</v>
      </c>
      <c r="J264" s="5">
        <v>26</v>
      </c>
      <c r="K264" s="5">
        <v>54.51</v>
      </c>
      <c r="L264" s="5">
        <v>1417.26</v>
      </c>
      <c r="M264" s="5">
        <v>878.7</v>
      </c>
      <c r="N264" s="5">
        <v>538.55999999999995</v>
      </c>
    </row>
    <row r="265" spans="1:14">
      <c r="A265" s="2">
        <v>45827.416666666657</v>
      </c>
      <c r="B265" s="3">
        <v>2025</v>
      </c>
      <c r="C265" s="4" t="s">
        <v>76</v>
      </c>
      <c r="D265" s="4">
        <v>6</v>
      </c>
      <c r="E265" s="4" t="s">
        <v>19</v>
      </c>
      <c r="F265" s="4" t="s">
        <v>44</v>
      </c>
      <c r="G265" s="4" t="s">
        <v>36</v>
      </c>
      <c r="H265" s="4" t="s">
        <v>67</v>
      </c>
      <c r="I265" s="4" t="s">
        <v>65</v>
      </c>
      <c r="J265" s="5">
        <v>24</v>
      </c>
      <c r="K265" s="5">
        <v>482.93</v>
      </c>
      <c r="L265" s="5">
        <v>11590.32</v>
      </c>
      <c r="M265" s="5">
        <v>7186</v>
      </c>
      <c r="N265" s="5">
        <v>4404.32</v>
      </c>
    </row>
    <row r="266" spans="1:14">
      <c r="A266" s="2">
        <v>44769.416666666657</v>
      </c>
      <c r="B266" s="3">
        <v>2022</v>
      </c>
      <c r="C266" s="4" t="s">
        <v>80</v>
      </c>
      <c r="D266" s="4">
        <v>7</v>
      </c>
      <c r="E266" s="4" t="s">
        <v>21</v>
      </c>
      <c r="F266" s="4" t="s">
        <v>43</v>
      </c>
      <c r="G266" s="4" t="s">
        <v>35</v>
      </c>
      <c r="H266" s="4" t="s">
        <v>90</v>
      </c>
      <c r="I266" s="4" t="s">
        <v>71</v>
      </c>
      <c r="J266" s="5">
        <v>6</v>
      </c>
      <c r="K266" s="5">
        <v>86.25</v>
      </c>
      <c r="L266" s="5">
        <v>517.5</v>
      </c>
      <c r="M266" s="5">
        <v>320.85000000000002</v>
      </c>
      <c r="N266" s="5">
        <v>196.65</v>
      </c>
    </row>
    <row r="267" spans="1:14">
      <c r="A267" s="2">
        <v>45128.416666666657</v>
      </c>
      <c r="B267" s="3">
        <v>2023</v>
      </c>
      <c r="C267" s="4" t="s">
        <v>80</v>
      </c>
      <c r="D267" s="4">
        <v>7</v>
      </c>
      <c r="E267" s="4" t="s">
        <v>21</v>
      </c>
      <c r="F267" s="4" t="s">
        <v>44</v>
      </c>
      <c r="G267" s="4" t="s">
        <v>35</v>
      </c>
      <c r="H267" s="4" t="s">
        <v>70</v>
      </c>
      <c r="I267" s="4" t="s">
        <v>61</v>
      </c>
      <c r="J267" s="5">
        <v>10</v>
      </c>
      <c r="K267" s="5">
        <v>139.97</v>
      </c>
      <c r="L267" s="5">
        <v>1399.7</v>
      </c>
      <c r="M267" s="5">
        <v>867.81</v>
      </c>
      <c r="N267" s="5">
        <v>531.89</v>
      </c>
    </row>
    <row r="268" spans="1:14">
      <c r="A268" s="2">
        <v>45491.416666666657</v>
      </c>
      <c r="B268" s="3">
        <v>2024</v>
      </c>
      <c r="C268" s="4" t="s">
        <v>80</v>
      </c>
      <c r="D268" s="4">
        <v>7</v>
      </c>
      <c r="E268" s="4" t="s">
        <v>21</v>
      </c>
      <c r="F268" s="4" t="s">
        <v>44</v>
      </c>
      <c r="G268" s="4" t="s">
        <v>38</v>
      </c>
      <c r="H268" s="4" t="s">
        <v>88</v>
      </c>
      <c r="I268" s="4" t="s">
        <v>63</v>
      </c>
      <c r="J268" s="5">
        <v>4</v>
      </c>
      <c r="K268" s="5">
        <v>110.47</v>
      </c>
      <c r="L268" s="5">
        <v>441.88</v>
      </c>
      <c r="M268" s="5">
        <v>273.97000000000003</v>
      </c>
      <c r="N268" s="5">
        <v>167.91</v>
      </c>
    </row>
    <row r="269" spans="1:14">
      <c r="A269" s="2">
        <v>45846.416666666657</v>
      </c>
      <c r="B269" s="3">
        <v>2025</v>
      </c>
      <c r="C269" s="4" t="s">
        <v>80</v>
      </c>
      <c r="D269" s="4">
        <v>7</v>
      </c>
      <c r="E269" s="4" t="s">
        <v>21</v>
      </c>
      <c r="F269" s="4" t="s">
        <v>44</v>
      </c>
      <c r="G269" s="4" t="s">
        <v>38</v>
      </c>
      <c r="H269" s="4" t="s">
        <v>83</v>
      </c>
      <c r="I269" s="4" t="s">
        <v>63</v>
      </c>
      <c r="J269" s="5">
        <v>6</v>
      </c>
      <c r="K269" s="5">
        <v>45.13</v>
      </c>
      <c r="L269" s="5">
        <v>270.77999999999997</v>
      </c>
      <c r="M269" s="5">
        <v>167.88</v>
      </c>
      <c r="N269" s="5">
        <v>102.9</v>
      </c>
    </row>
    <row r="270" spans="1:14">
      <c r="A270" s="2">
        <v>44792.416666666657</v>
      </c>
      <c r="B270" s="3">
        <v>2022</v>
      </c>
      <c r="C270" s="4" t="s">
        <v>80</v>
      </c>
      <c r="D270" s="4">
        <v>8</v>
      </c>
      <c r="E270" s="4" t="s">
        <v>22</v>
      </c>
      <c r="F270" s="4" t="s">
        <v>41</v>
      </c>
      <c r="G270" s="4" t="s">
        <v>39</v>
      </c>
      <c r="H270" s="4" t="s">
        <v>79</v>
      </c>
      <c r="I270" s="4" t="s">
        <v>71</v>
      </c>
      <c r="J270" s="5">
        <v>8</v>
      </c>
      <c r="K270" s="5">
        <v>4072.28</v>
      </c>
      <c r="L270" s="5">
        <v>32578.240000000002</v>
      </c>
      <c r="M270" s="5">
        <v>20198.509999999998</v>
      </c>
      <c r="N270" s="5">
        <v>12379.73</v>
      </c>
    </row>
    <row r="271" spans="1:14">
      <c r="A271" s="2">
        <v>45157.416666666657</v>
      </c>
      <c r="B271" s="3">
        <v>2023</v>
      </c>
      <c r="C271" s="4" t="s">
        <v>80</v>
      </c>
      <c r="D271" s="4">
        <v>8</v>
      </c>
      <c r="E271" s="4" t="s">
        <v>22</v>
      </c>
      <c r="F271" s="4" t="s">
        <v>41</v>
      </c>
      <c r="G271" s="4" t="s">
        <v>38</v>
      </c>
      <c r="H271" s="4" t="s">
        <v>77</v>
      </c>
      <c r="I271" s="4" t="s">
        <v>63</v>
      </c>
      <c r="J271" s="5">
        <v>8</v>
      </c>
      <c r="K271" s="5">
        <v>272.13</v>
      </c>
      <c r="L271" s="5">
        <v>2177.04</v>
      </c>
      <c r="M271" s="5">
        <v>1349.76</v>
      </c>
      <c r="N271" s="5">
        <v>827.28</v>
      </c>
    </row>
    <row r="272" spans="1:14">
      <c r="A272" s="2">
        <v>45514.416666666657</v>
      </c>
      <c r="B272" s="3">
        <v>2024</v>
      </c>
      <c r="C272" s="4" t="s">
        <v>80</v>
      </c>
      <c r="D272" s="4">
        <v>8</v>
      </c>
      <c r="E272" s="4" t="s">
        <v>22</v>
      </c>
      <c r="F272" s="4" t="s">
        <v>43</v>
      </c>
      <c r="G272" s="4" t="s">
        <v>35</v>
      </c>
      <c r="H272" s="4" t="s">
        <v>64</v>
      </c>
      <c r="I272" s="4" t="s">
        <v>65</v>
      </c>
      <c r="J272" s="5">
        <v>8</v>
      </c>
      <c r="K272" s="5">
        <v>109.66</v>
      </c>
      <c r="L272" s="5">
        <v>877.28</v>
      </c>
      <c r="M272" s="5">
        <v>543.91</v>
      </c>
      <c r="N272" s="5">
        <v>333.37</v>
      </c>
    </row>
    <row r="273" spans="1:14">
      <c r="A273" s="2">
        <v>45873.416666666657</v>
      </c>
      <c r="B273" s="3">
        <v>2025</v>
      </c>
      <c r="C273" s="4" t="s">
        <v>80</v>
      </c>
      <c r="D273" s="4">
        <v>8</v>
      </c>
      <c r="E273" s="4" t="s">
        <v>22</v>
      </c>
      <c r="F273" s="4" t="s">
        <v>41</v>
      </c>
      <c r="G273" s="4" t="s">
        <v>37</v>
      </c>
      <c r="H273" s="4" t="s">
        <v>84</v>
      </c>
      <c r="I273" s="4" t="s">
        <v>86</v>
      </c>
      <c r="J273" s="5">
        <v>2</v>
      </c>
      <c r="K273" s="5">
        <v>385.19</v>
      </c>
      <c r="L273" s="5">
        <v>770.38</v>
      </c>
      <c r="M273" s="5">
        <v>477.64</v>
      </c>
      <c r="N273" s="5">
        <v>292.74</v>
      </c>
    </row>
    <row r="274" spans="1:14">
      <c r="A274" s="2">
        <v>44817.416666666657</v>
      </c>
      <c r="B274" s="3">
        <v>2022</v>
      </c>
      <c r="C274" s="4" t="s">
        <v>80</v>
      </c>
      <c r="D274" s="4">
        <v>9</v>
      </c>
      <c r="E274" s="4" t="s">
        <v>23</v>
      </c>
      <c r="F274" s="4" t="s">
        <v>44</v>
      </c>
      <c r="G274" s="4" t="s">
        <v>39</v>
      </c>
      <c r="H274" s="4" t="s">
        <v>78</v>
      </c>
      <c r="I274" s="4" t="s">
        <v>68</v>
      </c>
      <c r="J274" s="5">
        <v>14</v>
      </c>
      <c r="K274" s="5">
        <v>2512.52</v>
      </c>
      <c r="L274" s="5">
        <v>35175.279999999999</v>
      </c>
      <c r="M274" s="5">
        <v>21808.67</v>
      </c>
      <c r="N274" s="5">
        <v>13366.61</v>
      </c>
    </row>
    <row r="275" spans="1:14">
      <c r="A275" s="2">
        <v>45190.416666666657</v>
      </c>
      <c r="B275" s="3">
        <v>2023</v>
      </c>
      <c r="C275" s="4" t="s">
        <v>80</v>
      </c>
      <c r="D275" s="4">
        <v>9</v>
      </c>
      <c r="E275" s="4" t="s">
        <v>23</v>
      </c>
      <c r="F275" s="4" t="s">
        <v>42</v>
      </c>
      <c r="G275" s="4" t="s">
        <v>39</v>
      </c>
      <c r="H275" s="4" t="s">
        <v>89</v>
      </c>
      <c r="I275" s="4" t="s">
        <v>71</v>
      </c>
      <c r="J275" s="5">
        <v>14</v>
      </c>
      <c r="K275" s="5">
        <v>3841.14</v>
      </c>
      <c r="L275" s="5">
        <v>53775.96</v>
      </c>
      <c r="M275" s="5">
        <v>33341.1</v>
      </c>
      <c r="N275" s="5">
        <v>20434.86</v>
      </c>
    </row>
    <row r="276" spans="1:14">
      <c r="A276" s="2">
        <v>45537.416666666657</v>
      </c>
      <c r="B276" s="3">
        <v>2024</v>
      </c>
      <c r="C276" s="4" t="s">
        <v>80</v>
      </c>
      <c r="D276" s="4">
        <v>9</v>
      </c>
      <c r="E276" s="4" t="s">
        <v>23</v>
      </c>
      <c r="F276" s="4" t="s">
        <v>41</v>
      </c>
      <c r="G276" s="4" t="s">
        <v>37</v>
      </c>
      <c r="H276" s="4" t="s">
        <v>66</v>
      </c>
      <c r="I276" s="4" t="s">
        <v>86</v>
      </c>
      <c r="J276" s="5">
        <v>11</v>
      </c>
      <c r="K276" s="5">
        <v>154.66</v>
      </c>
      <c r="L276" s="5">
        <v>1701.26</v>
      </c>
      <c r="M276" s="5">
        <v>1054.78</v>
      </c>
      <c r="N276" s="5">
        <v>646.48</v>
      </c>
    </row>
    <row r="277" spans="1:14">
      <c r="A277" s="2">
        <v>45915.416666666657</v>
      </c>
      <c r="B277" s="3">
        <v>2025</v>
      </c>
      <c r="C277" s="4" t="s">
        <v>80</v>
      </c>
      <c r="D277" s="4">
        <v>9</v>
      </c>
      <c r="E277" s="4" t="s">
        <v>23</v>
      </c>
      <c r="F277" s="4" t="s">
        <v>42</v>
      </c>
      <c r="G277" s="4" t="s">
        <v>35</v>
      </c>
      <c r="H277" s="4" t="s">
        <v>90</v>
      </c>
      <c r="I277" s="4" t="s">
        <v>86</v>
      </c>
      <c r="J277" s="5">
        <v>29</v>
      </c>
      <c r="K277" s="5">
        <v>45.92</v>
      </c>
      <c r="L277" s="5">
        <v>1331.68</v>
      </c>
      <c r="M277" s="5">
        <v>825.64</v>
      </c>
      <c r="N277" s="5">
        <v>506.04</v>
      </c>
    </row>
    <row r="278" spans="1:14">
      <c r="A278" s="2">
        <v>44838.416666666657</v>
      </c>
      <c r="B278" s="3">
        <v>2022</v>
      </c>
      <c r="C278" s="4" t="s">
        <v>85</v>
      </c>
      <c r="D278" s="4">
        <v>10</v>
      </c>
      <c r="E278" s="4" t="s">
        <v>29</v>
      </c>
      <c r="F278" s="4" t="s">
        <v>42</v>
      </c>
      <c r="G278" s="4" t="s">
        <v>37</v>
      </c>
      <c r="H278" s="4" t="s">
        <v>62</v>
      </c>
      <c r="I278" s="4" t="s">
        <v>71</v>
      </c>
      <c r="J278" s="5">
        <v>12</v>
      </c>
      <c r="K278" s="5">
        <v>64.33</v>
      </c>
      <c r="L278" s="5">
        <v>771.96</v>
      </c>
      <c r="M278" s="5">
        <v>478.62</v>
      </c>
      <c r="N278" s="5">
        <v>293.33999999999997</v>
      </c>
    </row>
    <row r="279" spans="1:14">
      <c r="A279" s="2">
        <v>45200.416666666657</v>
      </c>
      <c r="B279" s="3">
        <v>2023</v>
      </c>
      <c r="C279" s="4" t="s">
        <v>85</v>
      </c>
      <c r="D279" s="4">
        <v>10</v>
      </c>
      <c r="E279" s="4" t="s">
        <v>29</v>
      </c>
      <c r="F279" s="4" t="s">
        <v>43</v>
      </c>
      <c r="G279" s="4" t="s">
        <v>38</v>
      </c>
      <c r="H279" s="4" t="s">
        <v>72</v>
      </c>
      <c r="I279" s="4" t="s">
        <v>63</v>
      </c>
      <c r="J279" s="5">
        <v>14</v>
      </c>
      <c r="K279" s="5">
        <v>333.89</v>
      </c>
      <c r="L279" s="5">
        <v>4674.46</v>
      </c>
      <c r="M279" s="5">
        <v>2898.17</v>
      </c>
      <c r="N279" s="5">
        <v>1776.29</v>
      </c>
    </row>
    <row r="280" spans="1:14">
      <c r="A280" s="2">
        <v>45572.416666666657</v>
      </c>
      <c r="B280" s="3">
        <v>2024</v>
      </c>
      <c r="C280" s="4" t="s">
        <v>85</v>
      </c>
      <c r="D280" s="4">
        <v>10</v>
      </c>
      <c r="E280" s="4" t="s">
        <v>29</v>
      </c>
      <c r="F280" s="4" t="s">
        <v>44</v>
      </c>
      <c r="G280" s="4" t="s">
        <v>37</v>
      </c>
      <c r="H280" s="4" t="s">
        <v>87</v>
      </c>
      <c r="I280" s="4" t="s">
        <v>61</v>
      </c>
      <c r="J280" s="5">
        <v>8</v>
      </c>
      <c r="K280" s="5">
        <v>413.99</v>
      </c>
      <c r="L280" s="5">
        <v>3311.92</v>
      </c>
      <c r="M280" s="5">
        <v>2053.39</v>
      </c>
      <c r="N280" s="5">
        <v>1258.53</v>
      </c>
    </row>
    <row r="281" spans="1:14">
      <c r="A281" s="2">
        <v>45931.416666666657</v>
      </c>
      <c r="B281" s="3">
        <v>2025</v>
      </c>
      <c r="C281" s="4" t="s">
        <v>85</v>
      </c>
      <c r="D281" s="4">
        <v>10</v>
      </c>
      <c r="E281" s="4" t="s">
        <v>29</v>
      </c>
      <c r="F281" s="4" t="s">
        <v>40</v>
      </c>
      <c r="G281" s="4" t="s">
        <v>39</v>
      </c>
      <c r="H281" s="4" t="s">
        <v>78</v>
      </c>
      <c r="I281" s="4" t="s">
        <v>86</v>
      </c>
      <c r="J281" s="5">
        <v>10</v>
      </c>
      <c r="K281" s="5">
        <v>3415.27</v>
      </c>
      <c r="L281" s="5">
        <v>34152.699999999997</v>
      </c>
      <c r="M281" s="5">
        <v>21174.67</v>
      </c>
      <c r="N281" s="5">
        <v>12978.03</v>
      </c>
    </row>
    <row r="282" spans="1:14">
      <c r="A282" s="2">
        <v>44866.416666666657</v>
      </c>
      <c r="B282" s="3">
        <v>2022</v>
      </c>
      <c r="C282" s="4" t="s">
        <v>85</v>
      </c>
      <c r="D282" s="4">
        <v>11</v>
      </c>
      <c r="E282" s="4" t="s">
        <v>30</v>
      </c>
      <c r="F282" s="4" t="s">
        <v>41</v>
      </c>
      <c r="G282" s="4" t="s">
        <v>39</v>
      </c>
      <c r="H282" s="4" t="s">
        <v>60</v>
      </c>
      <c r="I282" s="4" t="s">
        <v>86</v>
      </c>
      <c r="J282" s="5">
        <v>20</v>
      </c>
      <c r="K282" s="5">
        <v>4982.04</v>
      </c>
      <c r="L282" s="5">
        <v>99640.8</v>
      </c>
      <c r="M282" s="5">
        <v>61777.3</v>
      </c>
      <c r="N282" s="5">
        <v>37863.5</v>
      </c>
    </row>
    <row r="283" spans="1:14">
      <c r="A283" s="2">
        <v>45246.416666666657</v>
      </c>
      <c r="B283" s="3">
        <v>2023</v>
      </c>
      <c r="C283" s="4" t="s">
        <v>85</v>
      </c>
      <c r="D283" s="4">
        <v>11</v>
      </c>
      <c r="E283" s="4" t="s">
        <v>30</v>
      </c>
      <c r="F283" s="4" t="s">
        <v>41</v>
      </c>
      <c r="G283" s="4" t="s">
        <v>38</v>
      </c>
      <c r="H283" s="4" t="s">
        <v>88</v>
      </c>
      <c r="I283" s="4" t="s">
        <v>86</v>
      </c>
      <c r="J283" s="5">
        <v>9</v>
      </c>
      <c r="K283" s="5">
        <v>38.78</v>
      </c>
      <c r="L283" s="5">
        <v>349.02</v>
      </c>
      <c r="M283" s="5">
        <v>216.39</v>
      </c>
      <c r="N283" s="5">
        <v>132.63</v>
      </c>
    </row>
    <row r="284" spans="1:14">
      <c r="A284" s="2">
        <v>45624.416666666657</v>
      </c>
      <c r="B284" s="3">
        <v>2024</v>
      </c>
      <c r="C284" s="4" t="s">
        <v>85</v>
      </c>
      <c r="D284" s="4">
        <v>11</v>
      </c>
      <c r="E284" s="4" t="s">
        <v>30</v>
      </c>
      <c r="F284" s="4" t="s">
        <v>40</v>
      </c>
      <c r="G284" s="4" t="s">
        <v>39</v>
      </c>
      <c r="H284" s="4" t="s">
        <v>78</v>
      </c>
      <c r="I284" s="4" t="s">
        <v>65</v>
      </c>
      <c r="J284" s="5">
        <v>37</v>
      </c>
      <c r="K284" s="5">
        <v>2367.8200000000002</v>
      </c>
      <c r="L284" s="5">
        <v>87609.34</v>
      </c>
      <c r="M284" s="5">
        <v>54317.79</v>
      </c>
      <c r="N284" s="5">
        <v>33291.550000000003</v>
      </c>
    </row>
    <row r="285" spans="1:14">
      <c r="A285" s="2">
        <v>45972.416666666657</v>
      </c>
      <c r="B285" s="3">
        <v>2025</v>
      </c>
      <c r="C285" s="4" t="s">
        <v>85</v>
      </c>
      <c r="D285" s="4">
        <v>11</v>
      </c>
      <c r="E285" s="4" t="s">
        <v>30</v>
      </c>
      <c r="F285" s="4" t="s">
        <v>44</v>
      </c>
      <c r="G285" s="4" t="s">
        <v>38</v>
      </c>
      <c r="H285" s="4" t="s">
        <v>72</v>
      </c>
      <c r="I285" s="4" t="s">
        <v>65</v>
      </c>
      <c r="J285" s="5">
        <v>28</v>
      </c>
      <c r="K285" s="5">
        <v>238.26</v>
      </c>
      <c r="L285" s="5">
        <v>6671.28</v>
      </c>
      <c r="M285" s="5">
        <v>4136.1899999999996</v>
      </c>
      <c r="N285" s="5">
        <v>2535.09</v>
      </c>
    </row>
    <row r="286" spans="1:14">
      <c r="A286" s="2">
        <v>44897.416666666657</v>
      </c>
      <c r="B286" s="3">
        <v>2022</v>
      </c>
      <c r="C286" s="4" t="s">
        <v>85</v>
      </c>
      <c r="D286" s="4">
        <v>12</v>
      </c>
      <c r="E286" s="4" t="s">
        <v>31</v>
      </c>
      <c r="F286" s="4" t="s">
        <v>44</v>
      </c>
      <c r="G286" s="4" t="s">
        <v>35</v>
      </c>
      <c r="H286" s="4" t="s">
        <v>64</v>
      </c>
      <c r="I286" s="4" t="s">
        <v>65</v>
      </c>
      <c r="J286" s="5">
        <v>27</v>
      </c>
      <c r="K286" s="5">
        <v>38.74</v>
      </c>
      <c r="L286" s="5">
        <v>1045.98</v>
      </c>
      <c r="M286" s="5">
        <v>648.51</v>
      </c>
      <c r="N286" s="5">
        <v>397.47</v>
      </c>
    </row>
    <row r="287" spans="1:14">
      <c r="A287" s="2">
        <v>45276.416666666657</v>
      </c>
      <c r="B287" s="3">
        <v>2023</v>
      </c>
      <c r="C287" s="4" t="s">
        <v>85</v>
      </c>
      <c r="D287" s="4">
        <v>12</v>
      </c>
      <c r="E287" s="4" t="s">
        <v>31</v>
      </c>
      <c r="F287" s="4" t="s">
        <v>40</v>
      </c>
      <c r="G287" s="4" t="s">
        <v>35</v>
      </c>
      <c r="H287" s="4" t="s">
        <v>69</v>
      </c>
      <c r="I287" s="4" t="s">
        <v>61</v>
      </c>
      <c r="J287" s="5">
        <v>14</v>
      </c>
      <c r="K287" s="5">
        <v>125.16</v>
      </c>
      <c r="L287" s="5">
        <v>1752.24</v>
      </c>
      <c r="M287" s="5">
        <v>1086.3900000000001</v>
      </c>
      <c r="N287" s="5">
        <v>665.85</v>
      </c>
    </row>
    <row r="288" spans="1:14">
      <c r="A288" s="2">
        <v>45652.416666666657</v>
      </c>
      <c r="B288" s="3">
        <v>2024</v>
      </c>
      <c r="C288" s="4" t="s">
        <v>85</v>
      </c>
      <c r="D288" s="4">
        <v>12</v>
      </c>
      <c r="E288" s="4" t="s">
        <v>31</v>
      </c>
      <c r="F288" s="4" t="s">
        <v>43</v>
      </c>
      <c r="G288" s="4" t="s">
        <v>35</v>
      </c>
      <c r="H288" s="4" t="s">
        <v>64</v>
      </c>
      <c r="I288" s="4" t="s">
        <v>65</v>
      </c>
      <c r="J288" s="5">
        <v>49</v>
      </c>
      <c r="K288" s="5">
        <v>84.88</v>
      </c>
      <c r="L288" s="5">
        <v>4159.12</v>
      </c>
      <c r="M288" s="5">
        <v>2578.65</v>
      </c>
      <c r="N288" s="5">
        <v>1580.47</v>
      </c>
    </row>
    <row r="289" spans="1:14">
      <c r="A289" s="2">
        <v>46019.416666666657</v>
      </c>
      <c r="B289" s="3">
        <v>2025</v>
      </c>
      <c r="C289" s="4" t="s">
        <v>85</v>
      </c>
      <c r="D289" s="4">
        <v>12</v>
      </c>
      <c r="E289" s="4" t="s">
        <v>31</v>
      </c>
      <c r="F289" s="4" t="s">
        <v>44</v>
      </c>
      <c r="G289" s="4" t="s">
        <v>35</v>
      </c>
      <c r="H289" s="4" t="s">
        <v>69</v>
      </c>
      <c r="I289" s="4" t="s">
        <v>63</v>
      </c>
      <c r="J289" s="5">
        <v>16</v>
      </c>
      <c r="K289" s="5">
        <v>71.45</v>
      </c>
      <c r="L289" s="5">
        <v>1143.2</v>
      </c>
      <c r="M289" s="5">
        <v>708.78</v>
      </c>
      <c r="N289" s="5">
        <v>434.42</v>
      </c>
    </row>
    <row r="290" spans="1:14">
      <c r="A290" s="2">
        <v>44566.416666666657</v>
      </c>
      <c r="B290" s="3">
        <v>2022</v>
      </c>
      <c r="C290" s="4" t="s">
        <v>59</v>
      </c>
      <c r="D290" s="4">
        <v>1</v>
      </c>
      <c r="E290" s="4" t="s">
        <v>1</v>
      </c>
      <c r="F290" s="4" t="s">
        <v>43</v>
      </c>
      <c r="G290" s="4" t="s">
        <v>35</v>
      </c>
      <c r="H290" s="4" t="s">
        <v>69</v>
      </c>
      <c r="I290" s="4" t="s">
        <v>63</v>
      </c>
      <c r="J290" s="5">
        <v>3</v>
      </c>
      <c r="K290" s="5">
        <v>50.69</v>
      </c>
      <c r="L290" s="5">
        <v>152.07</v>
      </c>
      <c r="M290" s="5">
        <v>94.28</v>
      </c>
      <c r="N290" s="5">
        <v>57.79</v>
      </c>
    </row>
    <row r="291" spans="1:14">
      <c r="A291" s="2">
        <v>44941.416666666657</v>
      </c>
      <c r="B291" s="3">
        <v>2023</v>
      </c>
      <c r="C291" s="4" t="s">
        <v>59</v>
      </c>
      <c r="D291" s="4">
        <v>1</v>
      </c>
      <c r="E291" s="4" t="s">
        <v>1</v>
      </c>
      <c r="F291" s="4" t="s">
        <v>40</v>
      </c>
      <c r="G291" s="4" t="s">
        <v>35</v>
      </c>
      <c r="H291" s="4" t="s">
        <v>64</v>
      </c>
      <c r="I291" s="4" t="s">
        <v>68</v>
      </c>
      <c r="J291" s="5">
        <v>21</v>
      </c>
      <c r="K291" s="5">
        <v>82.24</v>
      </c>
      <c r="L291" s="5">
        <v>1727.04</v>
      </c>
      <c r="M291" s="5">
        <v>1070.76</v>
      </c>
      <c r="N291" s="5">
        <v>656.28</v>
      </c>
    </row>
    <row r="292" spans="1:14">
      <c r="A292" s="2">
        <v>45312.416666666657</v>
      </c>
      <c r="B292" s="3">
        <v>2024</v>
      </c>
      <c r="C292" s="4" t="s">
        <v>59</v>
      </c>
      <c r="D292" s="4">
        <v>1</v>
      </c>
      <c r="E292" s="4" t="s">
        <v>1</v>
      </c>
      <c r="F292" s="4" t="s">
        <v>42</v>
      </c>
      <c r="G292" s="4" t="s">
        <v>39</v>
      </c>
      <c r="H292" s="4" t="s">
        <v>78</v>
      </c>
      <c r="I292" s="4" t="s">
        <v>86</v>
      </c>
      <c r="J292" s="5">
        <v>49</v>
      </c>
      <c r="K292" s="5">
        <v>1017.86</v>
      </c>
      <c r="L292" s="5">
        <v>49875.14</v>
      </c>
      <c r="M292" s="5">
        <v>30922.59</v>
      </c>
      <c r="N292" s="5">
        <v>18952.55</v>
      </c>
    </row>
    <row r="293" spans="1:14">
      <c r="A293" s="2">
        <v>45674.416666666657</v>
      </c>
      <c r="B293" s="3">
        <v>2025</v>
      </c>
      <c r="C293" s="4" t="s">
        <v>59</v>
      </c>
      <c r="D293" s="4">
        <v>1</v>
      </c>
      <c r="E293" s="4" t="s">
        <v>1</v>
      </c>
      <c r="F293" s="4" t="s">
        <v>42</v>
      </c>
      <c r="G293" s="4" t="s">
        <v>37</v>
      </c>
      <c r="H293" s="4" t="s">
        <v>93</v>
      </c>
      <c r="I293" s="4" t="s">
        <v>71</v>
      </c>
      <c r="J293" s="5">
        <v>12</v>
      </c>
      <c r="K293" s="5">
        <v>372.46</v>
      </c>
      <c r="L293" s="5">
        <v>4469.5200000000004</v>
      </c>
      <c r="M293" s="5">
        <v>2771.1</v>
      </c>
      <c r="N293" s="5">
        <v>1698.42</v>
      </c>
    </row>
    <row r="294" spans="1:14">
      <c r="A294" s="2">
        <v>44620.416666666657</v>
      </c>
      <c r="B294" s="3">
        <v>2022</v>
      </c>
      <c r="C294" s="4" t="s">
        <v>59</v>
      </c>
      <c r="D294" s="4">
        <v>2</v>
      </c>
      <c r="E294" s="4" t="s">
        <v>2</v>
      </c>
      <c r="F294" s="4" t="s">
        <v>44</v>
      </c>
      <c r="G294" s="4" t="s">
        <v>39</v>
      </c>
      <c r="H294" s="4" t="s">
        <v>82</v>
      </c>
      <c r="I294" s="4" t="s">
        <v>61</v>
      </c>
      <c r="J294" s="5">
        <v>13</v>
      </c>
      <c r="K294" s="5">
        <v>4974.95</v>
      </c>
      <c r="L294" s="5">
        <v>64674.35</v>
      </c>
      <c r="M294" s="5">
        <v>40098.1</v>
      </c>
      <c r="N294" s="5">
        <v>24576.25</v>
      </c>
    </row>
    <row r="295" spans="1:14">
      <c r="A295" s="2">
        <v>44978.416666666657</v>
      </c>
      <c r="B295" s="3">
        <v>2023</v>
      </c>
      <c r="C295" s="4" t="s">
        <v>59</v>
      </c>
      <c r="D295" s="4">
        <v>2</v>
      </c>
      <c r="E295" s="4" t="s">
        <v>2</v>
      </c>
      <c r="F295" s="4" t="s">
        <v>41</v>
      </c>
      <c r="G295" s="4" t="s">
        <v>39</v>
      </c>
      <c r="H295" s="4" t="s">
        <v>89</v>
      </c>
      <c r="I295" s="4" t="s">
        <v>71</v>
      </c>
      <c r="J295" s="5">
        <v>11</v>
      </c>
      <c r="K295" s="5">
        <v>2306.42</v>
      </c>
      <c r="L295" s="5">
        <v>25370.62</v>
      </c>
      <c r="M295" s="5">
        <v>15729.78</v>
      </c>
      <c r="N295" s="5">
        <v>9640.84</v>
      </c>
    </row>
    <row r="296" spans="1:14">
      <c r="A296" s="2">
        <v>45350.416666666657</v>
      </c>
      <c r="B296" s="3">
        <v>2024</v>
      </c>
      <c r="C296" s="4" t="s">
        <v>59</v>
      </c>
      <c r="D296" s="4">
        <v>2</v>
      </c>
      <c r="E296" s="4" t="s">
        <v>2</v>
      </c>
      <c r="F296" s="4" t="s">
        <v>41</v>
      </c>
      <c r="G296" s="4" t="s">
        <v>38</v>
      </c>
      <c r="H296" s="4" t="s">
        <v>74</v>
      </c>
      <c r="I296" s="4" t="s">
        <v>65</v>
      </c>
      <c r="J296" s="5">
        <v>8</v>
      </c>
      <c r="K296" s="5">
        <v>352.97</v>
      </c>
      <c r="L296" s="5">
        <v>2823.76</v>
      </c>
      <c r="M296" s="5">
        <v>1750.73</v>
      </c>
      <c r="N296" s="5">
        <v>1073.03</v>
      </c>
    </row>
    <row r="297" spans="1:14">
      <c r="A297" s="2">
        <v>45709.416666666657</v>
      </c>
      <c r="B297" s="3">
        <v>2025</v>
      </c>
      <c r="C297" s="4" t="s">
        <v>59</v>
      </c>
      <c r="D297" s="4">
        <v>2</v>
      </c>
      <c r="E297" s="4" t="s">
        <v>2</v>
      </c>
      <c r="F297" s="4" t="s">
        <v>41</v>
      </c>
      <c r="G297" s="4" t="s">
        <v>36</v>
      </c>
      <c r="H297" s="4" t="s">
        <v>75</v>
      </c>
      <c r="I297" s="4" t="s">
        <v>61</v>
      </c>
      <c r="J297" s="5">
        <v>2</v>
      </c>
      <c r="K297" s="5">
        <v>3827.2</v>
      </c>
      <c r="L297" s="5">
        <v>7654.4</v>
      </c>
      <c r="M297" s="5">
        <v>4745.7299999999996</v>
      </c>
      <c r="N297" s="5">
        <v>2908.67</v>
      </c>
    </row>
    <row r="298" spans="1:14">
      <c r="A298" s="2">
        <v>44641.416666666657</v>
      </c>
      <c r="B298" s="3">
        <v>2022</v>
      </c>
      <c r="C298" s="4" t="s">
        <v>59</v>
      </c>
      <c r="D298" s="4">
        <v>3</v>
      </c>
      <c r="E298" s="4" t="s">
        <v>13</v>
      </c>
      <c r="F298" s="4" t="s">
        <v>44</v>
      </c>
      <c r="G298" s="4" t="s">
        <v>36</v>
      </c>
      <c r="H298" s="4" t="s">
        <v>67</v>
      </c>
      <c r="I298" s="4" t="s">
        <v>61</v>
      </c>
      <c r="J298" s="5">
        <v>6</v>
      </c>
      <c r="K298" s="5">
        <v>3165.15</v>
      </c>
      <c r="L298" s="5">
        <v>18990.900000000001</v>
      </c>
      <c r="M298" s="5">
        <v>11774.36</v>
      </c>
      <c r="N298" s="5">
        <v>7216.54</v>
      </c>
    </row>
    <row r="299" spans="1:14">
      <c r="A299" s="2">
        <v>45010.416666666657</v>
      </c>
      <c r="B299" s="3">
        <v>2023</v>
      </c>
      <c r="C299" s="4" t="s">
        <v>59</v>
      </c>
      <c r="D299" s="4">
        <v>3</v>
      </c>
      <c r="E299" s="4" t="s">
        <v>13</v>
      </c>
      <c r="F299" s="4" t="s">
        <v>40</v>
      </c>
      <c r="G299" s="4" t="s">
        <v>37</v>
      </c>
      <c r="H299" s="4" t="s">
        <v>87</v>
      </c>
      <c r="I299" s="4" t="s">
        <v>71</v>
      </c>
      <c r="J299" s="5">
        <v>16</v>
      </c>
      <c r="K299" s="5">
        <v>465.41</v>
      </c>
      <c r="L299" s="5">
        <v>7446.56</v>
      </c>
      <c r="M299" s="5">
        <v>4616.87</v>
      </c>
      <c r="N299" s="5">
        <v>2829.69</v>
      </c>
    </row>
    <row r="300" spans="1:14">
      <c r="A300" s="2">
        <v>45361.416666666657</v>
      </c>
      <c r="B300" s="3">
        <v>2024</v>
      </c>
      <c r="C300" s="4" t="s">
        <v>59</v>
      </c>
      <c r="D300" s="4">
        <v>3</v>
      </c>
      <c r="E300" s="4" t="s">
        <v>13</v>
      </c>
      <c r="F300" s="4" t="s">
        <v>42</v>
      </c>
      <c r="G300" s="4" t="s">
        <v>39</v>
      </c>
      <c r="H300" s="4" t="s">
        <v>60</v>
      </c>
      <c r="I300" s="4" t="s">
        <v>71</v>
      </c>
      <c r="J300" s="5">
        <v>5</v>
      </c>
      <c r="K300" s="5">
        <v>4123.32</v>
      </c>
      <c r="L300" s="5">
        <v>20616.599999999999</v>
      </c>
      <c r="M300" s="5">
        <v>12782.29</v>
      </c>
      <c r="N300" s="5">
        <v>7834.31</v>
      </c>
    </row>
    <row r="301" spans="1:14">
      <c r="A301" s="2">
        <v>45742.416666666657</v>
      </c>
      <c r="B301" s="3">
        <v>2025</v>
      </c>
      <c r="C301" s="4" t="s">
        <v>59</v>
      </c>
      <c r="D301" s="4">
        <v>3</v>
      </c>
      <c r="E301" s="4" t="s">
        <v>13</v>
      </c>
      <c r="F301" s="4" t="s">
        <v>40</v>
      </c>
      <c r="G301" s="4" t="s">
        <v>39</v>
      </c>
      <c r="H301" s="4" t="s">
        <v>89</v>
      </c>
      <c r="I301" s="4" t="s">
        <v>68</v>
      </c>
      <c r="J301" s="5">
        <v>3</v>
      </c>
      <c r="K301" s="5">
        <v>1712.64</v>
      </c>
      <c r="L301" s="5">
        <v>5137.92</v>
      </c>
      <c r="M301" s="5">
        <v>3185.51</v>
      </c>
      <c r="N301" s="5">
        <v>1952.41</v>
      </c>
    </row>
    <row r="302" spans="1:14">
      <c r="A302" s="2">
        <v>44671.416666666657</v>
      </c>
      <c r="B302" s="3">
        <v>2022</v>
      </c>
      <c r="C302" s="4" t="s">
        <v>76</v>
      </c>
      <c r="D302" s="4">
        <v>4</v>
      </c>
      <c r="E302" s="4" t="s">
        <v>17</v>
      </c>
      <c r="F302" s="4" t="s">
        <v>40</v>
      </c>
      <c r="G302" s="4" t="s">
        <v>36</v>
      </c>
      <c r="H302" s="4" t="s">
        <v>67</v>
      </c>
      <c r="I302" s="4" t="s">
        <v>63</v>
      </c>
      <c r="J302" s="5">
        <v>8</v>
      </c>
      <c r="K302" s="5">
        <v>645.80999999999995</v>
      </c>
      <c r="L302" s="5">
        <v>5166.4799999999996</v>
      </c>
      <c r="M302" s="5">
        <v>3203.22</v>
      </c>
      <c r="N302" s="5">
        <v>1963.26</v>
      </c>
    </row>
    <row r="303" spans="1:14">
      <c r="A303" s="2">
        <v>45024.416666666657</v>
      </c>
      <c r="B303" s="3">
        <v>2023</v>
      </c>
      <c r="C303" s="4" t="s">
        <v>76</v>
      </c>
      <c r="D303" s="4">
        <v>4</v>
      </c>
      <c r="E303" s="4" t="s">
        <v>17</v>
      </c>
      <c r="F303" s="4" t="s">
        <v>40</v>
      </c>
      <c r="G303" s="4" t="s">
        <v>36</v>
      </c>
      <c r="H303" s="4" t="s">
        <v>67</v>
      </c>
      <c r="I303" s="4" t="s">
        <v>63</v>
      </c>
      <c r="J303" s="5">
        <v>27</v>
      </c>
      <c r="K303" s="5">
        <v>3052.17</v>
      </c>
      <c r="L303" s="5">
        <v>82408.59</v>
      </c>
      <c r="M303" s="5">
        <v>51093.33</v>
      </c>
      <c r="N303" s="5">
        <v>31315.26</v>
      </c>
    </row>
    <row r="304" spans="1:14">
      <c r="A304" s="2">
        <v>45395.416666666657</v>
      </c>
      <c r="B304" s="3">
        <v>2024</v>
      </c>
      <c r="C304" s="4" t="s">
        <v>76</v>
      </c>
      <c r="D304" s="4">
        <v>4</v>
      </c>
      <c r="E304" s="4" t="s">
        <v>17</v>
      </c>
      <c r="F304" s="4" t="s">
        <v>44</v>
      </c>
      <c r="G304" s="4" t="s">
        <v>39</v>
      </c>
      <c r="H304" s="4" t="s">
        <v>89</v>
      </c>
      <c r="I304" s="4" t="s">
        <v>68</v>
      </c>
      <c r="J304" s="5">
        <v>33</v>
      </c>
      <c r="K304" s="5">
        <v>5055.16</v>
      </c>
      <c r="L304" s="5">
        <v>166820.28</v>
      </c>
      <c r="M304" s="5">
        <v>103428.57</v>
      </c>
      <c r="N304" s="5">
        <v>63391.71</v>
      </c>
    </row>
    <row r="305" spans="1:14">
      <c r="A305" s="2">
        <v>45751.416666666657</v>
      </c>
      <c r="B305" s="3">
        <v>2025</v>
      </c>
      <c r="C305" s="4" t="s">
        <v>76</v>
      </c>
      <c r="D305" s="4">
        <v>4</v>
      </c>
      <c r="E305" s="4" t="s">
        <v>17</v>
      </c>
      <c r="F305" s="4" t="s">
        <v>43</v>
      </c>
      <c r="G305" s="4" t="s">
        <v>36</v>
      </c>
      <c r="H305" s="4" t="s">
        <v>73</v>
      </c>
      <c r="I305" s="4" t="s">
        <v>68</v>
      </c>
      <c r="J305" s="5">
        <v>28</v>
      </c>
      <c r="K305" s="5">
        <v>281</v>
      </c>
      <c r="L305" s="5">
        <v>7868</v>
      </c>
      <c r="M305" s="5">
        <v>4878.16</v>
      </c>
      <c r="N305" s="5">
        <v>2989.84</v>
      </c>
    </row>
    <row r="306" spans="1:14">
      <c r="A306" s="2">
        <v>44702.416666666657</v>
      </c>
      <c r="B306" s="3">
        <v>2022</v>
      </c>
      <c r="C306" s="4" t="s">
        <v>76</v>
      </c>
      <c r="D306" s="4">
        <v>5</v>
      </c>
      <c r="E306" s="4" t="s">
        <v>18</v>
      </c>
      <c r="F306" s="4" t="s">
        <v>42</v>
      </c>
      <c r="G306" s="4" t="s">
        <v>38</v>
      </c>
      <c r="H306" s="4" t="s">
        <v>72</v>
      </c>
      <c r="I306" s="4" t="s">
        <v>61</v>
      </c>
      <c r="J306" s="5">
        <v>14</v>
      </c>
      <c r="K306" s="5">
        <v>56.42</v>
      </c>
      <c r="L306" s="5">
        <v>789.88</v>
      </c>
      <c r="M306" s="5">
        <v>489.73</v>
      </c>
      <c r="N306" s="5">
        <v>300.14999999999998</v>
      </c>
    </row>
    <row r="307" spans="1:14">
      <c r="A307" s="2">
        <v>45047.416666666657</v>
      </c>
      <c r="B307" s="3">
        <v>2023</v>
      </c>
      <c r="C307" s="4" t="s">
        <v>76</v>
      </c>
      <c r="D307" s="4">
        <v>5</v>
      </c>
      <c r="E307" s="4" t="s">
        <v>18</v>
      </c>
      <c r="F307" s="4" t="s">
        <v>41</v>
      </c>
      <c r="G307" s="4" t="s">
        <v>37</v>
      </c>
      <c r="H307" s="4" t="s">
        <v>66</v>
      </c>
      <c r="I307" s="4" t="s">
        <v>65</v>
      </c>
      <c r="J307" s="5">
        <v>8</v>
      </c>
      <c r="K307" s="5">
        <v>150.91</v>
      </c>
      <c r="L307" s="5">
        <v>1207.28</v>
      </c>
      <c r="M307" s="5">
        <v>748.51</v>
      </c>
      <c r="N307" s="5">
        <v>458.77</v>
      </c>
    </row>
    <row r="308" spans="1:14">
      <c r="A308" s="2">
        <v>45438.416666666657</v>
      </c>
      <c r="B308" s="3">
        <v>2024</v>
      </c>
      <c r="C308" s="4" t="s">
        <v>76</v>
      </c>
      <c r="D308" s="4">
        <v>5</v>
      </c>
      <c r="E308" s="4" t="s">
        <v>18</v>
      </c>
      <c r="F308" s="4" t="s">
        <v>40</v>
      </c>
      <c r="G308" s="4" t="s">
        <v>37</v>
      </c>
      <c r="H308" s="4" t="s">
        <v>87</v>
      </c>
      <c r="I308" s="4" t="s">
        <v>71</v>
      </c>
      <c r="J308" s="5">
        <v>14</v>
      </c>
      <c r="K308" s="5">
        <v>172.85</v>
      </c>
      <c r="L308" s="5">
        <v>2419.9</v>
      </c>
      <c r="M308" s="5">
        <v>1500.34</v>
      </c>
      <c r="N308" s="5">
        <v>919.56</v>
      </c>
    </row>
    <row r="309" spans="1:14">
      <c r="A309" s="2">
        <v>45801.416666666657</v>
      </c>
      <c r="B309" s="3">
        <v>2025</v>
      </c>
      <c r="C309" s="4" t="s">
        <v>76</v>
      </c>
      <c r="D309" s="4">
        <v>5</v>
      </c>
      <c r="E309" s="4" t="s">
        <v>18</v>
      </c>
      <c r="F309" s="4" t="s">
        <v>43</v>
      </c>
      <c r="G309" s="4" t="s">
        <v>36</v>
      </c>
      <c r="H309" s="4" t="s">
        <v>81</v>
      </c>
      <c r="I309" s="4" t="s">
        <v>86</v>
      </c>
      <c r="J309" s="5">
        <v>28</v>
      </c>
      <c r="K309" s="5">
        <v>1534.51</v>
      </c>
      <c r="L309" s="5">
        <v>42966.28</v>
      </c>
      <c r="M309" s="5">
        <v>26639.09</v>
      </c>
      <c r="N309" s="5">
        <v>16327.19</v>
      </c>
    </row>
    <row r="310" spans="1:14">
      <c r="A310" s="2">
        <v>44716.416666666657</v>
      </c>
      <c r="B310" s="3">
        <v>2022</v>
      </c>
      <c r="C310" s="4" t="s">
        <v>76</v>
      </c>
      <c r="D310" s="4">
        <v>6</v>
      </c>
      <c r="E310" s="4" t="s">
        <v>19</v>
      </c>
      <c r="F310" s="4" t="s">
        <v>43</v>
      </c>
      <c r="G310" s="4" t="s">
        <v>35</v>
      </c>
      <c r="H310" s="4" t="s">
        <v>70</v>
      </c>
      <c r="I310" s="4" t="s">
        <v>61</v>
      </c>
      <c r="J310" s="5">
        <v>8</v>
      </c>
      <c r="K310" s="5">
        <v>126.36</v>
      </c>
      <c r="L310" s="5">
        <v>1010.88</v>
      </c>
      <c r="M310" s="5">
        <v>626.75</v>
      </c>
      <c r="N310" s="5">
        <v>384.13</v>
      </c>
    </row>
    <row r="311" spans="1:14">
      <c r="A311" s="2">
        <v>45081.416666666657</v>
      </c>
      <c r="B311" s="3">
        <v>2023</v>
      </c>
      <c r="C311" s="4" t="s">
        <v>76</v>
      </c>
      <c r="D311" s="4">
        <v>6</v>
      </c>
      <c r="E311" s="4" t="s">
        <v>19</v>
      </c>
      <c r="F311" s="4" t="s">
        <v>43</v>
      </c>
      <c r="G311" s="4" t="s">
        <v>35</v>
      </c>
      <c r="H311" s="4" t="s">
        <v>69</v>
      </c>
      <c r="I311" s="4" t="s">
        <v>71</v>
      </c>
      <c r="J311" s="5">
        <v>14</v>
      </c>
      <c r="K311" s="5">
        <v>53.61</v>
      </c>
      <c r="L311" s="5">
        <v>750.54</v>
      </c>
      <c r="M311" s="5">
        <v>465.33</v>
      </c>
      <c r="N311" s="5">
        <v>285.20999999999998</v>
      </c>
    </row>
    <row r="312" spans="1:14">
      <c r="A312" s="2">
        <v>45445.416666666657</v>
      </c>
      <c r="B312" s="3">
        <v>2024</v>
      </c>
      <c r="C312" s="4" t="s">
        <v>76</v>
      </c>
      <c r="D312" s="4">
        <v>6</v>
      </c>
      <c r="E312" s="4" t="s">
        <v>19</v>
      </c>
      <c r="F312" s="4" t="s">
        <v>40</v>
      </c>
      <c r="G312" s="4" t="s">
        <v>36</v>
      </c>
      <c r="H312" s="4" t="s">
        <v>81</v>
      </c>
      <c r="I312" s="4" t="s">
        <v>61</v>
      </c>
      <c r="J312" s="5">
        <v>27</v>
      </c>
      <c r="K312" s="5">
        <v>1433</v>
      </c>
      <c r="L312" s="5">
        <v>38691</v>
      </c>
      <c r="M312" s="5">
        <v>23988.42</v>
      </c>
      <c r="N312" s="5">
        <v>14702.58</v>
      </c>
    </row>
    <row r="313" spans="1:14">
      <c r="A313" s="2">
        <v>45816.416666666657</v>
      </c>
      <c r="B313" s="3">
        <v>2025</v>
      </c>
      <c r="C313" s="4" t="s">
        <v>76</v>
      </c>
      <c r="D313" s="4">
        <v>6</v>
      </c>
      <c r="E313" s="4" t="s">
        <v>19</v>
      </c>
      <c r="F313" s="4" t="s">
        <v>44</v>
      </c>
      <c r="G313" s="4" t="s">
        <v>37</v>
      </c>
      <c r="H313" s="4" t="s">
        <v>87</v>
      </c>
      <c r="I313" s="4" t="s">
        <v>63</v>
      </c>
      <c r="J313" s="5">
        <v>22</v>
      </c>
      <c r="K313" s="5">
        <v>307.48</v>
      </c>
      <c r="L313" s="5">
        <v>6764.56</v>
      </c>
      <c r="M313" s="5">
        <v>4194.03</v>
      </c>
      <c r="N313" s="5">
        <v>2570.5300000000002</v>
      </c>
    </row>
    <row r="314" spans="1:14">
      <c r="A314" s="2">
        <v>44756.416666666657</v>
      </c>
      <c r="B314" s="3">
        <v>2022</v>
      </c>
      <c r="C314" s="4" t="s">
        <v>80</v>
      </c>
      <c r="D314" s="4">
        <v>7</v>
      </c>
      <c r="E314" s="4" t="s">
        <v>21</v>
      </c>
      <c r="F314" s="4" t="s">
        <v>42</v>
      </c>
      <c r="G314" s="4" t="s">
        <v>37</v>
      </c>
      <c r="H314" s="4" t="s">
        <v>93</v>
      </c>
      <c r="I314" s="4" t="s">
        <v>71</v>
      </c>
      <c r="J314" s="5">
        <v>12</v>
      </c>
      <c r="K314" s="5">
        <v>370.39</v>
      </c>
      <c r="L314" s="5">
        <v>4444.68</v>
      </c>
      <c r="M314" s="5">
        <v>2755.7</v>
      </c>
      <c r="N314" s="5">
        <v>1688.98</v>
      </c>
    </row>
    <row r="315" spans="1:14">
      <c r="A315" s="2">
        <v>45134.416666666657</v>
      </c>
      <c r="B315" s="3">
        <v>2023</v>
      </c>
      <c r="C315" s="4" t="s">
        <v>80</v>
      </c>
      <c r="D315" s="4">
        <v>7</v>
      </c>
      <c r="E315" s="4" t="s">
        <v>21</v>
      </c>
      <c r="F315" s="4" t="s">
        <v>43</v>
      </c>
      <c r="G315" s="4" t="s">
        <v>39</v>
      </c>
      <c r="H315" s="4" t="s">
        <v>89</v>
      </c>
      <c r="I315" s="4" t="s">
        <v>68</v>
      </c>
      <c r="J315" s="5">
        <v>17</v>
      </c>
      <c r="K315" s="5">
        <v>2509.69</v>
      </c>
      <c r="L315" s="5">
        <v>42664.73</v>
      </c>
      <c r="M315" s="5">
        <v>26452.13</v>
      </c>
      <c r="N315" s="5">
        <v>16212.6</v>
      </c>
    </row>
    <row r="316" spans="1:14">
      <c r="A316" s="2">
        <v>45476.416666666657</v>
      </c>
      <c r="B316" s="3">
        <v>2024</v>
      </c>
      <c r="C316" s="4" t="s">
        <v>80</v>
      </c>
      <c r="D316" s="4">
        <v>7</v>
      </c>
      <c r="E316" s="4" t="s">
        <v>21</v>
      </c>
      <c r="F316" s="4" t="s">
        <v>42</v>
      </c>
      <c r="G316" s="4" t="s">
        <v>37</v>
      </c>
      <c r="H316" s="4" t="s">
        <v>93</v>
      </c>
      <c r="I316" s="4" t="s">
        <v>63</v>
      </c>
      <c r="J316" s="5">
        <v>14</v>
      </c>
      <c r="K316" s="5">
        <v>423.12</v>
      </c>
      <c r="L316" s="5">
        <v>5923.68</v>
      </c>
      <c r="M316" s="5">
        <v>3672.68</v>
      </c>
      <c r="N316" s="5">
        <v>2251</v>
      </c>
    </row>
    <row r="317" spans="1:14">
      <c r="A317" s="2">
        <v>45852.416666666657</v>
      </c>
      <c r="B317" s="3">
        <v>2025</v>
      </c>
      <c r="C317" s="4" t="s">
        <v>80</v>
      </c>
      <c r="D317" s="4">
        <v>7</v>
      </c>
      <c r="E317" s="4" t="s">
        <v>21</v>
      </c>
      <c r="F317" s="4" t="s">
        <v>44</v>
      </c>
      <c r="G317" s="4" t="s">
        <v>37</v>
      </c>
      <c r="H317" s="4" t="s">
        <v>66</v>
      </c>
      <c r="I317" s="4" t="s">
        <v>61</v>
      </c>
      <c r="J317" s="5">
        <v>12</v>
      </c>
      <c r="K317" s="5">
        <v>489.6</v>
      </c>
      <c r="L317" s="5">
        <v>5875.2</v>
      </c>
      <c r="M317" s="5">
        <v>3642.62</v>
      </c>
      <c r="N317" s="5">
        <v>2232.58</v>
      </c>
    </row>
    <row r="318" spans="1:14">
      <c r="A318" s="2">
        <v>44775.416666666657</v>
      </c>
      <c r="B318" s="3">
        <v>2022</v>
      </c>
      <c r="C318" s="4" t="s">
        <v>80</v>
      </c>
      <c r="D318" s="4">
        <v>8</v>
      </c>
      <c r="E318" s="4" t="s">
        <v>22</v>
      </c>
      <c r="F318" s="4" t="s">
        <v>44</v>
      </c>
      <c r="G318" s="4" t="s">
        <v>38</v>
      </c>
      <c r="H318" s="4" t="s">
        <v>88</v>
      </c>
      <c r="I318" s="4" t="s">
        <v>68</v>
      </c>
      <c r="J318" s="5">
        <v>16</v>
      </c>
      <c r="K318" s="5">
        <v>112.08</v>
      </c>
      <c r="L318" s="5">
        <v>1793.28</v>
      </c>
      <c r="M318" s="5">
        <v>1111.83</v>
      </c>
      <c r="N318" s="5">
        <v>681.45</v>
      </c>
    </row>
    <row r="319" spans="1:14">
      <c r="A319" s="2">
        <v>45158.416666666657</v>
      </c>
      <c r="B319" s="3">
        <v>2023</v>
      </c>
      <c r="C319" s="4" t="s">
        <v>80</v>
      </c>
      <c r="D319" s="4">
        <v>8</v>
      </c>
      <c r="E319" s="4" t="s">
        <v>22</v>
      </c>
      <c r="F319" s="4" t="s">
        <v>41</v>
      </c>
      <c r="G319" s="4" t="s">
        <v>35</v>
      </c>
      <c r="H319" s="4" t="s">
        <v>70</v>
      </c>
      <c r="I319" s="4" t="s">
        <v>65</v>
      </c>
      <c r="J319" s="5">
        <v>8</v>
      </c>
      <c r="K319" s="5">
        <v>24.81</v>
      </c>
      <c r="L319" s="5">
        <v>198.48</v>
      </c>
      <c r="M319" s="5">
        <v>123.06</v>
      </c>
      <c r="N319" s="5">
        <v>75.42</v>
      </c>
    </row>
    <row r="320" spans="1:14">
      <c r="A320" s="2">
        <v>45520.416666666657</v>
      </c>
      <c r="B320" s="3">
        <v>2024</v>
      </c>
      <c r="C320" s="4" t="s">
        <v>80</v>
      </c>
      <c r="D320" s="4">
        <v>8</v>
      </c>
      <c r="E320" s="4" t="s">
        <v>22</v>
      </c>
      <c r="F320" s="4" t="s">
        <v>41</v>
      </c>
      <c r="G320" s="4" t="s">
        <v>37</v>
      </c>
      <c r="H320" s="4" t="s">
        <v>87</v>
      </c>
      <c r="I320" s="4" t="s">
        <v>71</v>
      </c>
      <c r="J320" s="5">
        <v>27</v>
      </c>
      <c r="K320" s="5">
        <v>99.94</v>
      </c>
      <c r="L320" s="5">
        <v>2698.38</v>
      </c>
      <c r="M320" s="5">
        <v>1673</v>
      </c>
      <c r="N320" s="5">
        <v>1025.3800000000001</v>
      </c>
    </row>
    <row r="321" spans="1:14">
      <c r="A321" s="2">
        <v>45875.416666666657</v>
      </c>
      <c r="B321" s="3">
        <v>2025</v>
      </c>
      <c r="C321" s="4" t="s">
        <v>80</v>
      </c>
      <c r="D321" s="4">
        <v>8</v>
      </c>
      <c r="E321" s="4" t="s">
        <v>22</v>
      </c>
      <c r="F321" s="4" t="s">
        <v>40</v>
      </c>
      <c r="G321" s="4" t="s">
        <v>37</v>
      </c>
      <c r="H321" s="4" t="s">
        <v>84</v>
      </c>
      <c r="I321" s="4" t="s">
        <v>71</v>
      </c>
      <c r="J321" s="5">
        <v>11</v>
      </c>
      <c r="K321" s="5">
        <v>176.24</v>
      </c>
      <c r="L321" s="5">
        <v>1938.64</v>
      </c>
      <c r="M321" s="5">
        <v>1201.96</v>
      </c>
      <c r="N321" s="5">
        <v>736.68</v>
      </c>
    </row>
    <row r="322" spans="1:14">
      <c r="A322" s="2">
        <v>44815.416666666657</v>
      </c>
      <c r="B322" s="3">
        <v>2022</v>
      </c>
      <c r="C322" s="4" t="s">
        <v>80</v>
      </c>
      <c r="D322" s="4">
        <v>9</v>
      </c>
      <c r="E322" s="4" t="s">
        <v>23</v>
      </c>
      <c r="F322" s="4" t="s">
        <v>41</v>
      </c>
      <c r="G322" s="4" t="s">
        <v>35</v>
      </c>
      <c r="H322" s="4" t="s">
        <v>70</v>
      </c>
      <c r="I322" s="4" t="s">
        <v>65</v>
      </c>
      <c r="J322" s="5">
        <v>9</v>
      </c>
      <c r="K322" s="5">
        <v>106.97</v>
      </c>
      <c r="L322" s="5">
        <v>962.73</v>
      </c>
      <c r="M322" s="5">
        <v>596.89</v>
      </c>
      <c r="N322" s="5">
        <v>365.84</v>
      </c>
    </row>
    <row r="323" spans="1:14">
      <c r="A323" s="2">
        <v>45182.416666666657</v>
      </c>
      <c r="B323" s="3">
        <v>2023</v>
      </c>
      <c r="C323" s="4" t="s">
        <v>80</v>
      </c>
      <c r="D323" s="4">
        <v>9</v>
      </c>
      <c r="E323" s="4" t="s">
        <v>23</v>
      </c>
      <c r="F323" s="4" t="s">
        <v>42</v>
      </c>
      <c r="G323" s="4" t="s">
        <v>35</v>
      </c>
      <c r="H323" s="4" t="s">
        <v>69</v>
      </c>
      <c r="I323" s="4" t="s">
        <v>65</v>
      </c>
      <c r="J323" s="5">
        <v>4</v>
      </c>
      <c r="K323" s="5">
        <v>85.27</v>
      </c>
      <c r="L323" s="5">
        <v>341.08</v>
      </c>
      <c r="M323" s="5">
        <v>211.47</v>
      </c>
      <c r="N323" s="5">
        <v>129.61000000000001</v>
      </c>
    </row>
    <row r="324" spans="1:14">
      <c r="A324" s="2">
        <v>45546.416666666657</v>
      </c>
      <c r="B324" s="3">
        <v>2024</v>
      </c>
      <c r="C324" s="4" t="s">
        <v>80</v>
      </c>
      <c r="D324" s="4">
        <v>9</v>
      </c>
      <c r="E324" s="4" t="s">
        <v>23</v>
      </c>
      <c r="F324" s="4" t="s">
        <v>41</v>
      </c>
      <c r="G324" s="4" t="s">
        <v>37</v>
      </c>
      <c r="H324" s="4" t="s">
        <v>93</v>
      </c>
      <c r="I324" s="4" t="s">
        <v>71</v>
      </c>
      <c r="J324" s="5">
        <v>31</v>
      </c>
      <c r="K324" s="5">
        <v>129.02000000000001</v>
      </c>
      <c r="L324" s="5">
        <v>3999.62</v>
      </c>
      <c r="M324" s="5">
        <v>2479.7600000000002</v>
      </c>
      <c r="N324" s="5">
        <v>1519.86</v>
      </c>
    </row>
    <row r="325" spans="1:14">
      <c r="A325" s="2">
        <v>45920.416666666657</v>
      </c>
      <c r="B325" s="3">
        <v>2025</v>
      </c>
      <c r="C325" s="4" t="s">
        <v>80</v>
      </c>
      <c r="D325" s="4">
        <v>9</v>
      </c>
      <c r="E325" s="4" t="s">
        <v>23</v>
      </c>
      <c r="F325" s="4" t="s">
        <v>41</v>
      </c>
      <c r="G325" s="4" t="s">
        <v>36</v>
      </c>
      <c r="H325" s="4" t="s">
        <v>73</v>
      </c>
      <c r="I325" s="4" t="s">
        <v>63</v>
      </c>
      <c r="J325" s="5">
        <v>37</v>
      </c>
      <c r="K325" s="5">
        <v>3987.86</v>
      </c>
      <c r="L325" s="5">
        <v>147550.82</v>
      </c>
      <c r="M325" s="5">
        <v>91481.51</v>
      </c>
      <c r="N325" s="5">
        <v>56069.31</v>
      </c>
    </row>
    <row r="326" spans="1:14">
      <c r="A326" s="2">
        <v>44848.416666666657</v>
      </c>
      <c r="B326" s="3">
        <v>2022</v>
      </c>
      <c r="C326" s="4" t="s">
        <v>85</v>
      </c>
      <c r="D326" s="4">
        <v>10</v>
      </c>
      <c r="E326" s="4" t="s">
        <v>29</v>
      </c>
      <c r="F326" s="4" t="s">
        <v>44</v>
      </c>
      <c r="G326" s="4" t="s">
        <v>38</v>
      </c>
      <c r="H326" s="4" t="s">
        <v>74</v>
      </c>
      <c r="I326" s="4" t="s">
        <v>63</v>
      </c>
      <c r="J326" s="5">
        <v>6</v>
      </c>
      <c r="K326" s="5">
        <v>383.24</v>
      </c>
      <c r="L326" s="5">
        <v>2299.44</v>
      </c>
      <c r="M326" s="5">
        <v>1425.65</v>
      </c>
      <c r="N326" s="5">
        <v>873.79</v>
      </c>
    </row>
    <row r="327" spans="1:14">
      <c r="A327" s="2">
        <v>45213.416666666657</v>
      </c>
      <c r="B327" s="3">
        <v>2023</v>
      </c>
      <c r="C327" s="4" t="s">
        <v>85</v>
      </c>
      <c r="D327" s="4">
        <v>10</v>
      </c>
      <c r="E327" s="4" t="s">
        <v>29</v>
      </c>
      <c r="F327" s="4" t="s">
        <v>40</v>
      </c>
      <c r="G327" s="4" t="s">
        <v>36</v>
      </c>
      <c r="H327" s="4" t="s">
        <v>91</v>
      </c>
      <c r="I327" s="4" t="s">
        <v>63</v>
      </c>
      <c r="J327" s="5">
        <v>16</v>
      </c>
      <c r="K327" s="5">
        <v>465.26</v>
      </c>
      <c r="L327" s="5">
        <v>7444.16</v>
      </c>
      <c r="M327" s="5">
        <v>4615.38</v>
      </c>
      <c r="N327" s="5">
        <v>2828.78</v>
      </c>
    </row>
    <row r="328" spans="1:14">
      <c r="A328" s="2">
        <v>45569.416666666657</v>
      </c>
      <c r="B328" s="3">
        <v>2024</v>
      </c>
      <c r="C328" s="4" t="s">
        <v>85</v>
      </c>
      <c r="D328" s="4">
        <v>10</v>
      </c>
      <c r="E328" s="4" t="s">
        <v>29</v>
      </c>
      <c r="F328" s="4" t="s">
        <v>42</v>
      </c>
      <c r="G328" s="4" t="s">
        <v>37</v>
      </c>
      <c r="H328" s="4" t="s">
        <v>66</v>
      </c>
      <c r="I328" s="4" t="s">
        <v>68</v>
      </c>
      <c r="J328" s="5">
        <v>17</v>
      </c>
      <c r="K328" s="5">
        <v>311.13</v>
      </c>
      <c r="L328" s="5">
        <v>5289.21</v>
      </c>
      <c r="M328" s="5">
        <v>3279.31</v>
      </c>
      <c r="N328" s="5">
        <v>2009.9</v>
      </c>
    </row>
    <row r="329" spans="1:14">
      <c r="A329" s="2">
        <v>45956.416666666657</v>
      </c>
      <c r="B329" s="3">
        <v>2025</v>
      </c>
      <c r="C329" s="4" t="s">
        <v>85</v>
      </c>
      <c r="D329" s="4">
        <v>10</v>
      </c>
      <c r="E329" s="4" t="s">
        <v>29</v>
      </c>
      <c r="F329" s="4" t="s">
        <v>44</v>
      </c>
      <c r="G329" s="4" t="s">
        <v>38</v>
      </c>
      <c r="H329" s="4" t="s">
        <v>74</v>
      </c>
      <c r="I329" s="4" t="s">
        <v>65</v>
      </c>
      <c r="J329" s="5">
        <v>25</v>
      </c>
      <c r="K329" s="5">
        <v>288.11</v>
      </c>
      <c r="L329" s="5">
        <v>7202.75</v>
      </c>
      <c r="M329" s="5">
        <v>4465.7</v>
      </c>
      <c r="N329" s="5">
        <v>2737.05</v>
      </c>
    </row>
    <row r="330" spans="1:14">
      <c r="A330" s="2">
        <v>44875.416666666657</v>
      </c>
      <c r="B330" s="3">
        <v>2022</v>
      </c>
      <c r="C330" s="4" t="s">
        <v>85</v>
      </c>
      <c r="D330" s="4">
        <v>11</v>
      </c>
      <c r="E330" s="4" t="s">
        <v>30</v>
      </c>
      <c r="F330" s="4" t="s">
        <v>40</v>
      </c>
      <c r="G330" s="4" t="s">
        <v>37</v>
      </c>
      <c r="H330" s="4" t="s">
        <v>84</v>
      </c>
      <c r="I330" s="4" t="s">
        <v>68</v>
      </c>
      <c r="J330" s="5">
        <v>14</v>
      </c>
      <c r="K330" s="5">
        <v>89.86</v>
      </c>
      <c r="L330" s="5">
        <v>1258.04</v>
      </c>
      <c r="M330" s="5">
        <v>779.98</v>
      </c>
      <c r="N330" s="5">
        <v>478.06</v>
      </c>
    </row>
    <row r="331" spans="1:14">
      <c r="A331" s="2">
        <v>45243.416666666657</v>
      </c>
      <c r="B331" s="3">
        <v>2023</v>
      </c>
      <c r="C331" s="4" t="s">
        <v>85</v>
      </c>
      <c r="D331" s="4">
        <v>11</v>
      </c>
      <c r="E331" s="4" t="s">
        <v>30</v>
      </c>
      <c r="F331" s="4" t="s">
        <v>43</v>
      </c>
      <c r="G331" s="4" t="s">
        <v>37</v>
      </c>
      <c r="H331" s="4" t="s">
        <v>87</v>
      </c>
      <c r="I331" s="4" t="s">
        <v>65</v>
      </c>
      <c r="J331" s="5">
        <v>38</v>
      </c>
      <c r="K331" s="5">
        <v>473.4</v>
      </c>
      <c r="L331" s="5">
        <v>17989.2</v>
      </c>
      <c r="M331" s="5">
        <v>11153.3</v>
      </c>
      <c r="N331" s="5">
        <v>6835.9</v>
      </c>
    </row>
    <row r="332" spans="1:14">
      <c r="A332" s="2">
        <v>45603.416666666657</v>
      </c>
      <c r="B332" s="3">
        <v>2024</v>
      </c>
      <c r="C332" s="4" t="s">
        <v>85</v>
      </c>
      <c r="D332" s="4">
        <v>11</v>
      </c>
      <c r="E332" s="4" t="s">
        <v>30</v>
      </c>
      <c r="F332" s="4" t="s">
        <v>43</v>
      </c>
      <c r="G332" s="4" t="s">
        <v>37</v>
      </c>
      <c r="H332" s="4" t="s">
        <v>87</v>
      </c>
      <c r="I332" s="4" t="s">
        <v>86</v>
      </c>
      <c r="J332" s="5">
        <v>24</v>
      </c>
      <c r="K332" s="5">
        <v>350.33</v>
      </c>
      <c r="L332" s="5">
        <v>8407.92</v>
      </c>
      <c r="M332" s="5">
        <v>5212.91</v>
      </c>
      <c r="N332" s="5">
        <v>3195.01</v>
      </c>
    </row>
    <row r="333" spans="1:14">
      <c r="A333" s="2">
        <v>45971.416666666657</v>
      </c>
      <c r="B333" s="3">
        <v>2025</v>
      </c>
      <c r="C333" s="4" t="s">
        <v>85</v>
      </c>
      <c r="D333" s="4">
        <v>11</v>
      </c>
      <c r="E333" s="4" t="s">
        <v>30</v>
      </c>
      <c r="F333" s="4" t="s">
        <v>43</v>
      </c>
      <c r="G333" s="4" t="s">
        <v>36</v>
      </c>
      <c r="H333" s="4" t="s">
        <v>81</v>
      </c>
      <c r="I333" s="4" t="s">
        <v>68</v>
      </c>
      <c r="J333" s="5">
        <v>36</v>
      </c>
      <c r="K333" s="5">
        <v>1598.35</v>
      </c>
      <c r="L333" s="5">
        <v>57540.6</v>
      </c>
      <c r="M333" s="5">
        <v>35675.17</v>
      </c>
      <c r="N333" s="5">
        <v>21865.43</v>
      </c>
    </row>
    <row r="334" spans="1:14">
      <c r="A334" s="2">
        <v>44903.416666666657</v>
      </c>
      <c r="B334" s="3">
        <v>2022</v>
      </c>
      <c r="C334" s="4" t="s">
        <v>85</v>
      </c>
      <c r="D334" s="4">
        <v>12</v>
      </c>
      <c r="E334" s="4" t="s">
        <v>31</v>
      </c>
      <c r="F334" s="4" t="s">
        <v>41</v>
      </c>
      <c r="G334" s="4" t="s">
        <v>38</v>
      </c>
      <c r="H334" s="4" t="s">
        <v>77</v>
      </c>
      <c r="I334" s="4" t="s">
        <v>65</v>
      </c>
      <c r="J334" s="5">
        <v>29</v>
      </c>
      <c r="K334" s="5">
        <v>368.52</v>
      </c>
      <c r="L334" s="5">
        <v>10687.08</v>
      </c>
      <c r="M334" s="5">
        <v>6625.99</v>
      </c>
      <c r="N334" s="5">
        <v>4061.09</v>
      </c>
    </row>
    <row r="335" spans="1:14">
      <c r="A335" s="2">
        <v>45272.416666666657</v>
      </c>
      <c r="B335" s="3">
        <v>2023</v>
      </c>
      <c r="C335" s="4" t="s">
        <v>85</v>
      </c>
      <c r="D335" s="4">
        <v>12</v>
      </c>
      <c r="E335" s="4" t="s">
        <v>31</v>
      </c>
      <c r="F335" s="4" t="s">
        <v>42</v>
      </c>
      <c r="G335" s="4" t="s">
        <v>37</v>
      </c>
      <c r="H335" s="4" t="s">
        <v>87</v>
      </c>
      <c r="I335" s="4" t="s">
        <v>68</v>
      </c>
      <c r="J335" s="5">
        <v>24</v>
      </c>
      <c r="K335" s="5">
        <v>475.95</v>
      </c>
      <c r="L335" s="5">
        <v>11422.8</v>
      </c>
      <c r="M335" s="5">
        <v>7082.14</v>
      </c>
      <c r="N335" s="5">
        <v>4340.66</v>
      </c>
    </row>
    <row r="336" spans="1:14">
      <c r="A336" s="2">
        <v>45652.416666666657</v>
      </c>
      <c r="B336" s="3">
        <v>2024</v>
      </c>
      <c r="C336" s="4" t="s">
        <v>85</v>
      </c>
      <c r="D336" s="4">
        <v>12</v>
      </c>
      <c r="E336" s="4" t="s">
        <v>31</v>
      </c>
      <c r="F336" s="4" t="s">
        <v>44</v>
      </c>
      <c r="G336" s="4" t="s">
        <v>39</v>
      </c>
      <c r="H336" s="4" t="s">
        <v>78</v>
      </c>
      <c r="I336" s="4" t="s">
        <v>63</v>
      </c>
      <c r="J336" s="5">
        <v>50</v>
      </c>
      <c r="K336" s="5">
        <v>5168.3599999999997</v>
      </c>
      <c r="L336" s="5">
        <v>258418</v>
      </c>
      <c r="M336" s="5">
        <v>160219.16</v>
      </c>
      <c r="N336" s="5">
        <v>98198.84</v>
      </c>
    </row>
    <row r="337" spans="1:14">
      <c r="A337" s="2">
        <v>46018.416666666657</v>
      </c>
      <c r="B337" s="3">
        <v>2025</v>
      </c>
      <c r="C337" s="4" t="s">
        <v>85</v>
      </c>
      <c r="D337" s="4">
        <v>12</v>
      </c>
      <c r="E337" s="4" t="s">
        <v>31</v>
      </c>
      <c r="F337" s="4" t="s">
        <v>43</v>
      </c>
      <c r="G337" s="4" t="s">
        <v>37</v>
      </c>
      <c r="H337" s="4" t="s">
        <v>84</v>
      </c>
      <c r="I337" s="4" t="s">
        <v>65</v>
      </c>
      <c r="J337" s="5">
        <v>16</v>
      </c>
      <c r="K337" s="5">
        <v>87.5</v>
      </c>
      <c r="L337" s="5">
        <v>1400</v>
      </c>
      <c r="M337" s="5">
        <v>868</v>
      </c>
      <c r="N337" s="5">
        <v>532</v>
      </c>
    </row>
    <row r="338" spans="1:14">
      <c r="A338" s="2">
        <v>44577.416666666657</v>
      </c>
      <c r="B338" s="3">
        <v>2022</v>
      </c>
      <c r="C338" s="4" t="s">
        <v>59</v>
      </c>
      <c r="D338" s="4">
        <v>1</v>
      </c>
      <c r="E338" s="4" t="s">
        <v>1</v>
      </c>
      <c r="F338" s="4" t="s">
        <v>42</v>
      </c>
      <c r="G338" s="4" t="s">
        <v>37</v>
      </c>
      <c r="H338" s="4" t="s">
        <v>87</v>
      </c>
      <c r="I338" s="4" t="s">
        <v>68</v>
      </c>
      <c r="J338" s="5">
        <v>17</v>
      </c>
      <c r="K338" s="5">
        <v>428.56</v>
      </c>
      <c r="L338" s="5">
        <v>7285.52</v>
      </c>
      <c r="M338" s="5">
        <v>4517.0200000000004</v>
      </c>
      <c r="N338" s="5">
        <v>2768.5</v>
      </c>
    </row>
    <row r="339" spans="1:14">
      <c r="A339" s="2">
        <v>44938.416666666657</v>
      </c>
      <c r="B339" s="3">
        <v>2023</v>
      </c>
      <c r="C339" s="4" t="s">
        <v>59</v>
      </c>
      <c r="D339" s="4">
        <v>1</v>
      </c>
      <c r="E339" s="4" t="s">
        <v>1</v>
      </c>
      <c r="F339" s="4" t="s">
        <v>43</v>
      </c>
      <c r="G339" s="4" t="s">
        <v>35</v>
      </c>
      <c r="H339" s="4" t="s">
        <v>90</v>
      </c>
      <c r="I339" s="4" t="s">
        <v>61</v>
      </c>
      <c r="J339" s="5">
        <v>3</v>
      </c>
      <c r="K339" s="5">
        <v>16.78</v>
      </c>
      <c r="L339" s="5">
        <v>50.34</v>
      </c>
      <c r="M339" s="5">
        <v>31.21</v>
      </c>
      <c r="N339" s="5">
        <v>19.13</v>
      </c>
    </row>
    <row r="340" spans="1:14">
      <c r="A340" s="2">
        <v>45301.416666666657</v>
      </c>
      <c r="B340" s="3">
        <v>2024</v>
      </c>
      <c r="C340" s="4" t="s">
        <v>59</v>
      </c>
      <c r="D340" s="4">
        <v>1</v>
      </c>
      <c r="E340" s="4" t="s">
        <v>1</v>
      </c>
      <c r="F340" s="4" t="s">
        <v>40</v>
      </c>
      <c r="G340" s="4" t="s">
        <v>38</v>
      </c>
      <c r="H340" s="4" t="s">
        <v>74</v>
      </c>
      <c r="I340" s="4" t="s">
        <v>63</v>
      </c>
      <c r="J340" s="5">
        <v>27</v>
      </c>
      <c r="K340" s="5">
        <v>178.11</v>
      </c>
      <c r="L340" s="5">
        <v>4808.97</v>
      </c>
      <c r="M340" s="5">
        <v>2981.56</v>
      </c>
      <c r="N340" s="5">
        <v>1827.41</v>
      </c>
    </row>
    <row r="341" spans="1:14">
      <c r="A341" s="2">
        <v>45681.416666666657</v>
      </c>
      <c r="B341" s="3">
        <v>2025</v>
      </c>
      <c r="C341" s="4" t="s">
        <v>59</v>
      </c>
      <c r="D341" s="4">
        <v>1</v>
      </c>
      <c r="E341" s="4" t="s">
        <v>1</v>
      </c>
      <c r="F341" s="4" t="s">
        <v>41</v>
      </c>
      <c r="G341" s="4" t="s">
        <v>37</v>
      </c>
      <c r="H341" s="4" t="s">
        <v>93</v>
      </c>
      <c r="I341" s="4" t="s">
        <v>68</v>
      </c>
      <c r="J341" s="5">
        <v>32</v>
      </c>
      <c r="K341" s="5">
        <v>118.95</v>
      </c>
      <c r="L341" s="5">
        <v>3806.4</v>
      </c>
      <c r="M341" s="5">
        <v>2359.9699999999998</v>
      </c>
      <c r="N341" s="5">
        <v>1446.43</v>
      </c>
    </row>
    <row r="342" spans="1:14">
      <c r="A342" s="2">
        <v>44615.416666666657</v>
      </c>
      <c r="B342" s="3">
        <v>2022</v>
      </c>
      <c r="C342" s="4" t="s">
        <v>59</v>
      </c>
      <c r="D342" s="4">
        <v>2</v>
      </c>
      <c r="E342" s="4" t="s">
        <v>2</v>
      </c>
      <c r="F342" s="4" t="s">
        <v>44</v>
      </c>
      <c r="G342" s="4" t="s">
        <v>39</v>
      </c>
      <c r="H342" s="4" t="s">
        <v>78</v>
      </c>
      <c r="I342" s="4" t="s">
        <v>71</v>
      </c>
      <c r="J342" s="5">
        <v>5</v>
      </c>
      <c r="K342" s="5">
        <v>2742.44</v>
      </c>
      <c r="L342" s="5">
        <v>13712.2</v>
      </c>
      <c r="M342" s="5">
        <v>8501.56</v>
      </c>
      <c r="N342" s="5">
        <v>5210.6400000000003</v>
      </c>
    </row>
    <row r="343" spans="1:14">
      <c r="A343" s="2">
        <v>44959.416666666657</v>
      </c>
      <c r="B343" s="3">
        <v>2023</v>
      </c>
      <c r="C343" s="4" t="s">
        <v>59</v>
      </c>
      <c r="D343" s="4">
        <v>2</v>
      </c>
      <c r="E343" s="4" t="s">
        <v>2</v>
      </c>
      <c r="F343" s="4" t="s">
        <v>41</v>
      </c>
      <c r="G343" s="4" t="s">
        <v>37</v>
      </c>
      <c r="H343" s="4" t="s">
        <v>66</v>
      </c>
      <c r="I343" s="4" t="s">
        <v>68</v>
      </c>
      <c r="J343" s="5">
        <v>15</v>
      </c>
      <c r="K343" s="5">
        <v>368.55</v>
      </c>
      <c r="L343" s="5">
        <v>5528.25</v>
      </c>
      <c r="M343" s="5">
        <v>3427.52</v>
      </c>
      <c r="N343" s="5">
        <v>2100.73</v>
      </c>
    </row>
    <row r="344" spans="1:14">
      <c r="A344" s="2">
        <v>45335.416666666657</v>
      </c>
      <c r="B344" s="3">
        <v>2024</v>
      </c>
      <c r="C344" s="4" t="s">
        <v>59</v>
      </c>
      <c r="D344" s="4">
        <v>2</v>
      </c>
      <c r="E344" s="4" t="s">
        <v>2</v>
      </c>
      <c r="F344" s="4" t="s">
        <v>41</v>
      </c>
      <c r="G344" s="4" t="s">
        <v>39</v>
      </c>
      <c r="H344" s="4" t="s">
        <v>79</v>
      </c>
      <c r="I344" s="4" t="s">
        <v>86</v>
      </c>
      <c r="J344" s="5">
        <v>15</v>
      </c>
      <c r="K344" s="5">
        <v>5980.15</v>
      </c>
      <c r="L344" s="5">
        <v>89702.25</v>
      </c>
      <c r="M344" s="5">
        <v>55615.4</v>
      </c>
      <c r="N344" s="5">
        <v>34086.85</v>
      </c>
    </row>
    <row r="345" spans="1:14">
      <c r="A345" s="2">
        <v>45695.416666666657</v>
      </c>
      <c r="B345" s="3">
        <v>2025</v>
      </c>
      <c r="C345" s="4" t="s">
        <v>59</v>
      </c>
      <c r="D345" s="4">
        <v>2</v>
      </c>
      <c r="E345" s="4" t="s">
        <v>2</v>
      </c>
      <c r="F345" s="4" t="s">
        <v>40</v>
      </c>
      <c r="G345" s="4" t="s">
        <v>37</v>
      </c>
      <c r="H345" s="4" t="s">
        <v>62</v>
      </c>
      <c r="I345" s="4" t="s">
        <v>71</v>
      </c>
      <c r="J345" s="5">
        <v>26</v>
      </c>
      <c r="K345" s="5">
        <v>81.83</v>
      </c>
      <c r="L345" s="5">
        <v>2127.58</v>
      </c>
      <c r="M345" s="5">
        <v>1319.1</v>
      </c>
      <c r="N345" s="5">
        <v>808.48</v>
      </c>
    </row>
    <row r="346" spans="1:14">
      <c r="A346" s="2">
        <v>44642.416666666657</v>
      </c>
      <c r="B346" s="3">
        <v>2022</v>
      </c>
      <c r="C346" s="4" t="s">
        <v>59</v>
      </c>
      <c r="D346" s="4">
        <v>3</v>
      </c>
      <c r="E346" s="4" t="s">
        <v>13</v>
      </c>
      <c r="F346" s="4" t="s">
        <v>40</v>
      </c>
      <c r="G346" s="4" t="s">
        <v>38</v>
      </c>
      <c r="H346" s="4" t="s">
        <v>74</v>
      </c>
      <c r="I346" s="4" t="s">
        <v>61</v>
      </c>
      <c r="J346" s="5">
        <v>6</v>
      </c>
      <c r="K346" s="5">
        <v>340.8</v>
      </c>
      <c r="L346" s="5">
        <v>2044.8</v>
      </c>
      <c r="M346" s="5">
        <v>1267.78</v>
      </c>
      <c r="N346" s="5">
        <v>777.02</v>
      </c>
    </row>
    <row r="347" spans="1:14">
      <c r="A347" s="2">
        <v>45007.416666666657</v>
      </c>
      <c r="B347" s="3">
        <v>2023</v>
      </c>
      <c r="C347" s="4" t="s">
        <v>59</v>
      </c>
      <c r="D347" s="4">
        <v>3</v>
      </c>
      <c r="E347" s="4" t="s">
        <v>13</v>
      </c>
      <c r="F347" s="4" t="s">
        <v>42</v>
      </c>
      <c r="G347" s="4" t="s">
        <v>37</v>
      </c>
      <c r="H347" s="4" t="s">
        <v>84</v>
      </c>
      <c r="I347" s="4" t="s">
        <v>68</v>
      </c>
      <c r="J347" s="5">
        <v>12</v>
      </c>
      <c r="K347" s="5">
        <v>269.56</v>
      </c>
      <c r="L347" s="5">
        <v>3234.72</v>
      </c>
      <c r="M347" s="5">
        <v>2005.53</v>
      </c>
      <c r="N347" s="5">
        <v>1229.19</v>
      </c>
    </row>
    <row r="348" spans="1:14">
      <c r="A348" s="2">
        <v>45371.416666666657</v>
      </c>
      <c r="B348" s="3">
        <v>2024</v>
      </c>
      <c r="C348" s="4" t="s">
        <v>59</v>
      </c>
      <c r="D348" s="4">
        <v>3</v>
      </c>
      <c r="E348" s="4" t="s">
        <v>13</v>
      </c>
      <c r="F348" s="4" t="s">
        <v>41</v>
      </c>
      <c r="G348" s="4" t="s">
        <v>38</v>
      </c>
      <c r="H348" s="4" t="s">
        <v>88</v>
      </c>
      <c r="I348" s="4" t="s">
        <v>71</v>
      </c>
      <c r="J348" s="5">
        <v>29</v>
      </c>
      <c r="K348" s="5">
        <v>209.65</v>
      </c>
      <c r="L348" s="5">
        <v>6079.85</v>
      </c>
      <c r="M348" s="5">
        <v>3769.51</v>
      </c>
      <c r="N348" s="5">
        <v>2310.34</v>
      </c>
    </row>
    <row r="349" spans="1:14">
      <c r="A349" s="2">
        <v>45738.416666666657</v>
      </c>
      <c r="B349" s="3">
        <v>2025</v>
      </c>
      <c r="C349" s="4" t="s">
        <v>59</v>
      </c>
      <c r="D349" s="4">
        <v>3</v>
      </c>
      <c r="E349" s="4" t="s">
        <v>13</v>
      </c>
      <c r="F349" s="4" t="s">
        <v>40</v>
      </c>
      <c r="G349" s="4" t="s">
        <v>36</v>
      </c>
      <c r="H349" s="4" t="s">
        <v>81</v>
      </c>
      <c r="I349" s="4" t="s">
        <v>86</v>
      </c>
      <c r="J349" s="5">
        <v>9</v>
      </c>
      <c r="K349" s="5">
        <v>1853.38</v>
      </c>
      <c r="L349" s="5">
        <v>16680.419999999998</v>
      </c>
      <c r="M349" s="5">
        <v>10341.86</v>
      </c>
      <c r="N349" s="5">
        <v>6338.56</v>
      </c>
    </row>
    <row r="350" spans="1:14">
      <c r="A350" s="2">
        <v>44677.416666666657</v>
      </c>
      <c r="B350" s="3">
        <v>2022</v>
      </c>
      <c r="C350" s="4" t="s">
        <v>76</v>
      </c>
      <c r="D350" s="4">
        <v>4</v>
      </c>
      <c r="E350" s="4" t="s">
        <v>17</v>
      </c>
      <c r="F350" s="4" t="s">
        <v>42</v>
      </c>
      <c r="G350" s="4" t="s">
        <v>38</v>
      </c>
      <c r="H350" s="4" t="s">
        <v>72</v>
      </c>
      <c r="I350" s="4" t="s">
        <v>63</v>
      </c>
      <c r="J350" s="5">
        <v>16</v>
      </c>
      <c r="K350" s="5">
        <v>387.48</v>
      </c>
      <c r="L350" s="5">
        <v>6199.68</v>
      </c>
      <c r="M350" s="5">
        <v>3843.8</v>
      </c>
      <c r="N350" s="5">
        <v>2355.88</v>
      </c>
    </row>
    <row r="351" spans="1:14">
      <c r="A351" s="2">
        <v>45023.416666666657</v>
      </c>
      <c r="B351" s="3">
        <v>2023</v>
      </c>
      <c r="C351" s="4" t="s">
        <v>76</v>
      </c>
      <c r="D351" s="4">
        <v>4</v>
      </c>
      <c r="E351" s="4" t="s">
        <v>17</v>
      </c>
      <c r="F351" s="4" t="s">
        <v>43</v>
      </c>
      <c r="G351" s="4" t="s">
        <v>35</v>
      </c>
      <c r="H351" s="4" t="s">
        <v>90</v>
      </c>
      <c r="I351" s="4" t="s">
        <v>65</v>
      </c>
      <c r="J351" s="5">
        <v>19</v>
      </c>
      <c r="K351" s="5">
        <v>84.93</v>
      </c>
      <c r="L351" s="5">
        <v>1613.67</v>
      </c>
      <c r="M351" s="5">
        <v>1000.48</v>
      </c>
      <c r="N351" s="5">
        <v>613.19000000000005</v>
      </c>
    </row>
    <row r="352" spans="1:14">
      <c r="A352" s="2">
        <v>45396.416666666657</v>
      </c>
      <c r="B352" s="3">
        <v>2024</v>
      </c>
      <c r="C352" s="4" t="s">
        <v>76</v>
      </c>
      <c r="D352" s="4">
        <v>4</v>
      </c>
      <c r="E352" s="4" t="s">
        <v>17</v>
      </c>
      <c r="F352" s="4" t="s">
        <v>41</v>
      </c>
      <c r="G352" s="4" t="s">
        <v>35</v>
      </c>
      <c r="H352" s="4" t="s">
        <v>90</v>
      </c>
      <c r="I352" s="4" t="s">
        <v>61</v>
      </c>
      <c r="J352" s="5">
        <v>5</v>
      </c>
      <c r="K352" s="5">
        <v>67.19</v>
      </c>
      <c r="L352" s="5">
        <v>335.95</v>
      </c>
      <c r="M352" s="5">
        <v>208.29</v>
      </c>
      <c r="N352" s="5">
        <v>127.66</v>
      </c>
    </row>
    <row r="353" spans="1:14">
      <c r="A353" s="2">
        <v>45765.416666666657</v>
      </c>
      <c r="B353" s="3">
        <v>2025</v>
      </c>
      <c r="C353" s="4" t="s">
        <v>76</v>
      </c>
      <c r="D353" s="4">
        <v>4</v>
      </c>
      <c r="E353" s="4" t="s">
        <v>17</v>
      </c>
      <c r="F353" s="4" t="s">
        <v>44</v>
      </c>
      <c r="G353" s="4" t="s">
        <v>36</v>
      </c>
      <c r="H353" s="4" t="s">
        <v>73</v>
      </c>
      <c r="I353" s="4" t="s">
        <v>63</v>
      </c>
      <c r="J353" s="5">
        <v>2</v>
      </c>
      <c r="K353" s="5">
        <v>318.79000000000002</v>
      </c>
      <c r="L353" s="5">
        <v>637.58000000000004</v>
      </c>
      <c r="M353" s="5">
        <v>395.3</v>
      </c>
      <c r="N353" s="5">
        <v>242.28</v>
      </c>
    </row>
    <row r="354" spans="1:14">
      <c r="A354" s="2">
        <v>44707.416666666657</v>
      </c>
      <c r="B354" s="3">
        <v>2022</v>
      </c>
      <c r="C354" s="4" t="s">
        <v>76</v>
      </c>
      <c r="D354" s="4">
        <v>5</v>
      </c>
      <c r="E354" s="4" t="s">
        <v>18</v>
      </c>
      <c r="F354" s="4" t="s">
        <v>41</v>
      </c>
      <c r="G354" s="4" t="s">
        <v>38</v>
      </c>
      <c r="H354" s="4" t="s">
        <v>77</v>
      </c>
      <c r="I354" s="4" t="s">
        <v>65</v>
      </c>
      <c r="J354" s="5">
        <v>17</v>
      </c>
      <c r="K354" s="5">
        <v>213.37</v>
      </c>
      <c r="L354" s="5">
        <v>3627.29</v>
      </c>
      <c r="M354" s="5">
        <v>2248.92</v>
      </c>
      <c r="N354" s="5">
        <v>1378.37</v>
      </c>
    </row>
    <row r="355" spans="1:14">
      <c r="A355" s="2">
        <v>45074.416666666657</v>
      </c>
      <c r="B355" s="3">
        <v>2023</v>
      </c>
      <c r="C355" s="4" t="s">
        <v>76</v>
      </c>
      <c r="D355" s="4">
        <v>5</v>
      </c>
      <c r="E355" s="4" t="s">
        <v>18</v>
      </c>
      <c r="F355" s="4" t="s">
        <v>43</v>
      </c>
      <c r="G355" s="4" t="s">
        <v>37</v>
      </c>
      <c r="H355" s="4" t="s">
        <v>84</v>
      </c>
      <c r="I355" s="4" t="s">
        <v>61</v>
      </c>
      <c r="J355" s="5">
        <v>15</v>
      </c>
      <c r="K355" s="5">
        <v>98.79</v>
      </c>
      <c r="L355" s="5">
        <v>1481.85</v>
      </c>
      <c r="M355" s="5">
        <v>918.75</v>
      </c>
      <c r="N355" s="5">
        <v>563.1</v>
      </c>
    </row>
    <row r="356" spans="1:14">
      <c r="A356" s="2">
        <v>45430.416666666657</v>
      </c>
      <c r="B356" s="3">
        <v>2024</v>
      </c>
      <c r="C356" s="4" t="s">
        <v>76</v>
      </c>
      <c r="D356" s="4">
        <v>5</v>
      </c>
      <c r="E356" s="4" t="s">
        <v>18</v>
      </c>
      <c r="F356" s="4" t="s">
        <v>41</v>
      </c>
      <c r="G356" s="4" t="s">
        <v>35</v>
      </c>
      <c r="H356" s="4" t="s">
        <v>70</v>
      </c>
      <c r="I356" s="4" t="s">
        <v>68</v>
      </c>
      <c r="J356" s="5">
        <v>28</v>
      </c>
      <c r="K356" s="5">
        <v>76.31</v>
      </c>
      <c r="L356" s="5">
        <v>2136.6799999999998</v>
      </c>
      <c r="M356" s="5">
        <v>1324.74</v>
      </c>
      <c r="N356" s="5">
        <v>811.94</v>
      </c>
    </row>
    <row r="357" spans="1:14">
      <c r="A357" s="2">
        <v>45783.416666666657</v>
      </c>
      <c r="B357" s="3">
        <v>2025</v>
      </c>
      <c r="C357" s="4" t="s">
        <v>76</v>
      </c>
      <c r="D357" s="4">
        <v>5</v>
      </c>
      <c r="E357" s="4" t="s">
        <v>18</v>
      </c>
      <c r="F357" s="4" t="s">
        <v>41</v>
      </c>
      <c r="G357" s="4" t="s">
        <v>36</v>
      </c>
      <c r="H357" s="4" t="s">
        <v>73</v>
      </c>
      <c r="I357" s="4" t="s">
        <v>61</v>
      </c>
      <c r="J357" s="5">
        <v>13</v>
      </c>
      <c r="K357" s="5">
        <v>3490.27</v>
      </c>
      <c r="L357" s="5">
        <v>45373.51</v>
      </c>
      <c r="M357" s="5">
        <v>28131.58</v>
      </c>
      <c r="N357" s="5">
        <v>17241.93</v>
      </c>
    </row>
    <row r="358" spans="1:14">
      <c r="A358" s="2">
        <v>44733.416666666657</v>
      </c>
      <c r="B358" s="3">
        <v>2022</v>
      </c>
      <c r="C358" s="4" t="s">
        <v>76</v>
      </c>
      <c r="D358" s="4">
        <v>6</v>
      </c>
      <c r="E358" s="4" t="s">
        <v>19</v>
      </c>
      <c r="F358" s="4" t="s">
        <v>40</v>
      </c>
      <c r="G358" s="4" t="s">
        <v>38</v>
      </c>
      <c r="H358" s="4" t="s">
        <v>72</v>
      </c>
      <c r="I358" s="4" t="s">
        <v>63</v>
      </c>
      <c r="J358" s="5">
        <v>2</v>
      </c>
      <c r="K358" s="5">
        <v>149.36000000000001</v>
      </c>
      <c r="L358" s="5">
        <v>298.72000000000003</v>
      </c>
      <c r="M358" s="5">
        <v>185.21</v>
      </c>
      <c r="N358" s="5">
        <v>113.51</v>
      </c>
    </row>
    <row r="359" spans="1:14">
      <c r="A359" s="2">
        <v>45104.416666666657</v>
      </c>
      <c r="B359" s="3">
        <v>2023</v>
      </c>
      <c r="C359" s="4" t="s">
        <v>76</v>
      </c>
      <c r="D359" s="4">
        <v>6</v>
      </c>
      <c r="E359" s="4" t="s">
        <v>19</v>
      </c>
      <c r="F359" s="4" t="s">
        <v>42</v>
      </c>
      <c r="G359" s="4" t="s">
        <v>36</v>
      </c>
      <c r="H359" s="4" t="s">
        <v>81</v>
      </c>
      <c r="I359" s="4" t="s">
        <v>71</v>
      </c>
      <c r="J359" s="5">
        <v>21</v>
      </c>
      <c r="K359" s="5">
        <v>1148.79</v>
      </c>
      <c r="L359" s="5">
        <v>24124.59</v>
      </c>
      <c r="M359" s="5">
        <v>14957.25</v>
      </c>
      <c r="N359" s="5">
        <v>9167.34</v>
      </c>
    </row>
    <row r="360" spans="1:14">
      <c r="A360" s="2">
        <v>45445.416666666657</v>
      </c>
      <c r="B360" s="3">
        <v>2024</v>
      </c>
      <c r="C360" s="4" t="s">
        <v>76</v>
      </c>
      <c r="D360" s="4">
        <v>6</v>
      </c>
      <c r="E360" s="4" t="s">
        <v>19</v>
      </c>
      <c r="F360" s="4" t="s">
        <v>40</v>
      </c>
      <c r="G360" s="4" t="s">
        <v>37</v>
      </c>
      <c r="H360" s="4" t="s">
        <v>93</v>
      </c>
      <c r="I360" s="4" t="s">
        <v>63</v>
      </c>
      <c r="J360" s="5">
        <v>14</v>
      </c>
      <c r="K360" s="5">
        <v>337.36</v>
      </c>
      <c r="L360" s="5">
        <v>4723.04</v>
      </c>
      <c r="M360" s="5">
        <v>2928.28</v>
      </c>
      <c r="N360" s="5">
        <v>1794.76</v>
      </c>
    </row>
    <row r="361" spans="1:14">
      <c r="A361" s="2">
        <v>45821.416666666657</v>
      </c>
      <c r="B361" s="3">
        <v>2025</v>
      </c>
      <c r="C361" s="4" t="s">
        <v>76</v>
      </c>
      <c r="D361" s="4">
        <v>6</v>
      </c>
      <c r="E361" s="4" t="s">
        <v>19</v>
      </c>
      <c r="F361" s="4" t="s">
        <v>44</v>
      </c>
      <c r="G361" s="4" t="s">
        <v>38</v>
      </c>
      <c r="H361" s="4" t="s">
        <v>74</v>
      </c>
      <c r="I361" s="4" t="s">
        <v>68</v>
      </c>
      <c r="J361" s="5">
        <v>4</v>
      </c>
      <c r="K361" s="5">
        <v>141.58000000000001</v>
      </c>
      <c r="L361" s="5">
        <v>566.32000000000005</v>
      </c>
      <c r="M361" s="5">
        <v>351.12</v>
      </c>
      <c r="N361" s="5">
        <v>215.2</v>
      </c>
    </row>
    <row r="362" spans="1:14">
      <c r="A362" s="2">
        <v>44770.416666666657</v>
      </c>
      <c r="B362" s="3">
        <v>2022</v>
      </c>
      <c r="C362" s="4" t="s">
        <v>80</v>
      </c>
      <c r="D362" s="4">
        <v>7</v>
      </c>
      <c r="E362" s="4" t="s">
        <v>21</v>
      </c>
      <c r="F362" s="4" t="s">
        <v>41</v>
      </c>
      <c r="G362" s="4" t="s">
        <v>37</v>
      </c>
      <c r="H362" s="4" t="s">
        <v>62</v>
      </c>
      <c r="I362" s="4" t="s">
        <v>86</v>
      </c>
      <c r="J362" s="5">
        <v>14</v>
      </c>
      <c r="K362" s="5">
        <v>142.86000000000001</v>
      </c>
      <c r="L362" s="5">
        <v>2000.04</v>
      </c>
      <c r="M362" s="5">
        <v>1240.02</v>
      </c>
      <c r="N362" s="5">
        <v>760.02</v>
      </c>
    </row>
    <row r="363" spans="1:14">
      <c r="A363" s="2">
        <v>45133.416666666657</v>
      </c>
      <c r="B363" s="3">
        <v>2023</v>
      </c>
      <c r="C363" s="4" t="s">
        <v>80</v>
      </c>
      <c r="D363" s="4">
        <v>7</v>
      </c>
      <c r="E363" s="4" t="s">
        <v>21</v>
      </c>
      <c r="F363" s="4" t="s">
        <v>42</v>
      </c>
      <c r="G363" s="4" t="s">
        <v>38</v>
      </c>
      <c r="H363" s="4" t="s">
        <v>83</v>
      </c>
      <c r="I363" s="4" t="s">
        <v>86</v>
      </c>
      <c r="J363" s="5">
        <v>24</v>
      </c>
      <c r="K363" s="5">
        <v>210.2</v>
      </c>
      <c r="L363" s="5">
        <v>5044.8</v>
      </c>
      <c r="M363" s="5">
        <v>3127.78</v>
      </c>
      <c r="N363" s="5">
        <v>1917.02</v>
      </c>
    </row>
    <row r="364" spans="1:14">
      <c r="A364" s="2">
        <v>45482.416666666657</v>
      </c>
      <c r="B364" s="3">
        <v>2024</v>
      </c>
      <c r="C364" s="4" t="s">
        <v>80</v>
      </c>
      <c r="D364" s="4">
        <v>7</v>
      </c>
      <c r="E364" s="4" t="s">
        <v>21</v>
      </c>
      <c r="F364" s="4" t="s">
        <v>43</v>
      </c>
      <c r="G364" s="4" t="s">
        <v>36</v>
      </c>
      <c r="H364" s="4" t="s">
        <v>91</v>
      </c>
      <c r="I364" s="4" t="s">
        <v>68</v>
      </c>
      <c r="J364" s="5">
        <v>37</v>
      </c>
      <c r="K364" s="5">
        <v>3888.79</v>
      </c>
      <c r="L364" s="5">
        <v>143885.23000000001</v>
      </c>
      <c r="M364" s="5">
        <v>89208.84</v>
      </c>
      <c r="N364" s="5">
        <v>54676.39</v>
      </c>
    </row>
    <row r="365" spans="1:14">
      <c r="A365" s="2">
        <v>45843.416666666657</v>
      </c>
      <c r="B365" s="3">
        <v>2025</v>
      </c>
      <c r="C365" s="4" t="s">
        <v>80</v>
      </c>
      <c r="D365" s="4">
        <v>7</v>
      </c>
      <c r="E365" s="4" t="s">
        <v>21</v>
      </c>
      <c r="F365" s="4" t="s">
        <v>41</v>
      </c>
      <c r="G365" s="4" t="s">
        <v>35</v>
      </c>
      <c r="H365" s="4" t="s">
        <v>92</v>
      </c>
      <c r="I365" s="4" t="s">
        <v>65</v>
      </c>
      <c r="J365" s="5">
        <v>32</v>
      </c>
      <c r="K365" s="5">
        <v>72.42</v>
      </c>
      <c r="L365" s="5">
        <v>2317.44</v>
      </c>
      <c r="M365" s="5">
        <v>1436.81</v>
      </c>
      <c r="N365" s="5">
        <v>880.63</v>
      </c>
    </row>
    <row r="366" spans="1:14">
      <c r="A366" s="2">
        <v>44785.416666666657</v>
      </c>
      <c r="B366" s="3">
        <v>2022</v>
      </c>
      <c r="C366" s="4" t="s">
        <v>80</v>
      </c>
      <c r="D366" s="4">
        <v>8</v>
      </c>
      <c r="E366" s="4" t="s">
        <v>22</v>
      </c>
      <c r="F366" s="4" t="s">
        <v>40</v>
      </c>
      <c r="G366" s="4" t="s">
        <v>37</v>
      </c>
      <c r="H366" s="4" t="s">
        <v>66</v>
      </c>
      <c r="I366" s="4" t="s">
        <v>61</v>
      </c>
      <c r="J366" s="5">
        <v>4</v>
      </c>
      <c r="K366" s="5">
        <v>243.6</v>
      </c>
      <c r="L366" s="5">
        <v>974.4</v>
      </c>
      <c r="M366" s="5">
        <v>604.13</v>
      </c>
      <c r="N366" s="5">
        <v>370.27</v>
      </c>
    </row>
    <row r="367" spans="1:14">
      <c r="A367" s="2">
        <v>45143.416666666657</v>
      </c>
      <c r="B367" s="3">
        <v>2023</v>
      </c>
      <c r="C367" s="4" t="s">
        <v>80</v>
      </c>
      <c r="D367" s="4">
        <v>8</v>
      </c>
      <c r="E367" s="4" t="s">
        <v>22</v>
      </c>
      <c r="F367" s="4" t="s">
        <v>40</v>
      </c>
      <c r="G367" s="4" t="s">
        <v>35</v>
      </c>
      <c r="H367" s="4" t="s">
        <v>70</v>
      </c>
      <c r="I367" s="4" t="s">
        <v>63</v>
      </c>
      <c r="J367" s="5">
        <v>4</v>
      </c>
      <c r="K367" s="5">
        <v>137.04</v>
      </c>
      <c r="L367" s="5">
        <v>548.16</v>
      </c>
      <c r="M367" s="5">
        <v>339.86</v>
      </c>
      <c r="N367" s="5">
        <v>208.3</v>
      </c>
    </row>
    <row r="368" spans="1:14">
      <c r="A368" s="2">
        <v>45524.416666666657</v>
      </c>
      <c r="B368" s="3">
        <v>2024</v>
      </c>
      <c r="C368" s="4" t="s">
        <v>80</v>
      </c>
      <c r="D368" s="4">
        <v>8</v>
      </c>
      <c r="E368" s="4" t="s">
        <v>22</v>
      </c>
      <c r="F368" s="4" t="s">
        <v>40</v>
      </c>
      <c r="G368" s="4" t="s">
        <v>36</v>
      </c>
      <c r="H368" s="4" t="s">
        <v>75</v>
      </c>
      <c r="I368" s="4" t="s">
        <v>86</v>
      </c>
      <c r="J368" s="5">
        <v>25</v>
      </c>
      <c r="K368" s="5">
        <v>1962.41</v>
      </c>
      <c r="L368" s="5">
        <v>49060.25</v>
      </c>
      <c r="M368" s="5">
        <v>30417.360000000001</v>
      </c>
      <c r="N368" s="5">
        <v>18642.89</v>
      </c>
    </row>
    <row r="369" spans="1:14">
      <c r="A369" s="2">
        <v>45875.416666666657</v>
      </c>
      <c r="B369" s="3">
        <v>2025</v>
      </c>
      <c r="C369" s="4" t="s">
        <v>80</v>
      </c>
      <c r="D369" s="4">
        <v>8</v>
      </c>
      <c r="E369" s="4" t="s">
        <v>22</v>
      </c>
      <c r="F369" s="4" t="s">
        <v>43</v>
      </c>
      <c r="G369" s="4" t="s">
        <v>38</v>
      </c>
      <c r="H369" s="4" t="s">
        <v>74</v>
      </c>
      <c r="I369" s="4" t="s">
        <v>71</v>
      </c>
      <c r="J369" s="5">
        <v>8</v>
      </c>
      <c r="K369" s="5">
        <v>242.96</v>
      </c>
      <c r="L369" s="5">
        <v>1943.68</v>
      </c>
      <c r="M369" s="5">
        <v>1205.08</v>
      </c>
      <c r="N369" s="5">
        <v>738.6</v>
      </c>
    </row>
    <row r="370" spans="1:14">
      <c r="A370" s="2">
        <v>44810.416666666657</v>
      </c>
      <c r="B370" s="3">
        <v>2022</v>
      </c>
      <c r="C370" s="4" t="s">
        <v>80</v>
      </c>
      <c r="D370" s="4">
        <v>9</v>
      </c>
      <c r="E370" s="4" t="s">
        <v>23</v>
      </c>
      <c r="F370" s="4" t="s">
        <v>44</v>
      </c>
      <c r="G370" s="4" t="s">
        <v>38</v>
      </c>
      <c r="H370" s="4" t="s">
        <v>77</v>
      </c>
      <c r="I370" s="4" t="s">
        <v>63</v>
      </c>
      <c r="J370" s="5">
        <v>2</v>
      </c>
      <c r="K370" s="5">
        <v>231.91</v>
      </c>
      <c r="L370" s="5">
        <v>463.82</v>
      </c>
      <c r="M370" s="5">
        <v>287.57</v>
      </c>
      <c r="N370" s="5">
        <v>176.25</v>
      </c>
    </row>
    <row r="371" spans="1:14">
      <c r="A371" s="2">
        <v>45195.416666666657</v>
      </c>
      <c r="B371" s="3">
        <v>2023</v>
      </c>
      <c r="C371" s="4" t="s">
        <v>80</v>
      </c>
      <c r="D371" s="4">
        <v>9</v>
      </c>
      <c r="E371" s="4" t="s">
        <v>23</v>
      </c>
      <c r="F371" s="4" t="s">
        <v>40</v>
      </c>
      <c r="G371" s="4" t="s">
        <v>39</v>
      </c>
      <c r="H371" s="4" t="s">
        <v>82</v>
      </c>
      <c r="I371" s="4" t="s">
        <v>86</v>
      </c>
      <c r="J371" s="5">
        <v>11</v>
      </c>
      <c r="K371" s="5">
        <v>2108.58</v>
      </c>
      <c r="L371" s="5">
        <v>23194.38</v>
      </c>
      <c r="M371" s="5">
        <v>14380.52</v>
      </c>
      <c r="N371" s="5">
        <v>8813.86</v>
      </c>
    </row>
    <row r="372" spans="1:14">
      <c r="A372" s="2">
        <v>45537.416666666657</v>
      </c>
      <c r="B372" s="3">
        <v>2024</v>
      </c>
      <c r="C372" s="4" t="s">
        <v>80</v>
      </c>
      <c r="D372" s="4">
        <v>9</v>
      </c>
      <c r="E372" s="4" t="s">
        <v>23</v>
      </c>
      <c r="F372" s="4" t="s">
        <v>42</v>
      </c>
      <c r="G372" s="4" t="s">
        <v>37</v>
      </c>
      <c r="H372" s="4" t="s">
        <v>87</v>
      </c>
      <c r="I372" s="4" t="s">
        <v>68</v>
      </c>
      <c r="J372" s="5">
        <v>33</v>
      </c>
      <c r="K372" s="5">
        <v>287.33</v>
      </c>
      <c r="L372" s="5">
        <v>9481.89</v>
      </c>
      <c r="M372" s="5">
        <v>5878.77</v>
      </c>
      <c r="N372" s="5">
        <v>3603.12</v>
      </c>
    </row>
    <row r="373" spans="1:14">
      <c r="A373" s="2">
        <v>45911.416666666657</v>
      </c>
      <c r="B373" s="3">
        <v>2025</v>
      </c>
      <c r="C373" s="4" t="s">
        <v>80</v>
      </c>
      <c r="D373" s="4">
        <v>9</v>
      </c>
      <c r="E373" s="4" t="s">
        <v>23</v>
      </c>
      <c r="F373" s="4" t="s">
        <v>42</v>
      </c>
      <c r="G373" s="4" t="s">
        <v>36</v>
      </c>
      <c r="H373" s="4" t="s">
        <v>81</v>
      </c>
      <c r="I373" s="4" t="s">
        <v>68</v>
      </c>
      <c r="J373" s="5">
        <v>12</v>
      </c>
      <c r="K373" s="5">
        <v>3554.93</v>
      </c>
      <c r="L373" s="5">
        <v>42659.16</v>
      </c>
      <c r="M373" s="5">
        <v>26448.68</v>
      </c>
      <c r="N373" s="5">
        <v>16210.48</v>
      </c>
    </row>
    <row r="374" spans="1:14">
      <c r="A374" s="2">
        <v>44856.416666666657</v>
      </c>
      <c r="B374" s="3">
        <v>2022</v>
      </c>
      <c r="C374" s="4" t="s">
        <v>85</v>
      </c>
      <c r="D374" s="4">
        <v>10</v>
      </c>
      <c r="E374" s="4" t="s">
        <v>29</v>
      </c>
      <c r="F374" s="4" t="s">
        <v>44</v>
      </c>
      <c r="G374" s="4" t="s">
        <v>36</v>
      </c>
      <c r="H374" s="4" t="s">
        <v>73</v>
      </c>
      <c r="I374" s="4" t="s">
        <v>63</v>
      </c>
      <c r="J374" s="5">
        <v>9</v>
      </c>
      <c r="K374" s="5">
        <v>899.58</v>
      </c>
      <c r="L374" s="5">
        <v>8096.22</v>
      </c>
      <c r="M374" s="5">
        <v>5019.66</v>
      </c>
      <c r="N374" s="5">
        <v>3076.56</v>
      </c>
    </row>
    <row r="375" spans="1:14">
      <c r="A375" s="2">
        <v>45223.416666666657</v>
      </c>
      <c r="B375" s="3">
        <v>2023</v>
      </c>
      <c r="C375" s="4" t="s">
        <v>85</v>
      </c>
      <c r="D375" s="4">
        <v>10</v>
      </c>
      <c r="E375" s="4" t="s">
        <v>29</v>
      </c>
      <c r="F375" s="4" t="s">
        <v>41</v>
      </c>
      <c r="G375" s="4" t="s">
        <v>37</v>
      </c>
      <c r="H375" s="4" t="s">
        <v>84</v>
      </c>
      <c r="I375" s="4" t="s">
        <v>68</v>
      </c>
      <c r="J375" s="5">
        <v>22</v>
      </c>
      <c r="K375" s="5">
        <v>244.36</v>
      </c>
      <c r="L375" s="5">
        <v>5375.92</v>
      </c>
      <c r="M375" s="5">
        <v>3333.07</v>
      </c>
      <c r="N375" s="5">
        <v>2042.85</v>
      </c>
    </row>
    <row r="376" spans="1:14">
      <c r="A376" s="2">
        <v>45578.416666666657</v>
      </c>
      <c r="B376" s="3">
        <v>2024</v>
      </c>
      <c r="C376" s="4" t="s">
        <v>85</v>
      </c>
      <c r="D376" s="4">
        <v>10</v>
      </c>
      <c r="E376" s="4" t="s">
        <v>29</v>
      </c>
      <c r="F376" s="4" t="s">
        <v>44</v>
      </c>
      <c r="G376" s="4" t="s">
        <v>37</v>
      </c>
      <c r="H376" s="4" t="s">
        <v>62</v>
      </c>
      <c r="I376" s="4" t="s">
        <v>61</v>
      </c>
      <c r="J376" s="5">
        <v>16</v>
      </c>
      <c r="K376" s="5">
        <v>142.74</v>
      </c>
      <c r="L376" s="5">
        <v>2283.84</v>
      </c>
      <c r="M376" s="5">
        <v>1415.98</v>
      </c>
      <c r="N376" s="5">
        <v>867.86</v>
      </c>
    </row>
    <row r="377" spans="1:14">
      <c r="A377" s="2">
        <v>45937.416666666657</v>
      </c>
      <c r="B377" s="3">
        <v>2025</v>
      </c>
      <c r="C377" s="4" t="s">
        <v>85</v>
      </c>
      <c r="D377" s="4">
        <v>10</v>
      </c>
      <c r="E377" s="4" t="s">
        <v>29</v>
      </c>
      <c r="F377" s="4" t="s">
        <v>44</v>
      </c>
      <c r="G377" s="4" t="s">
        <v>38</v>
      </c>
      <c r="H377" s="4" t="s">
        <v>74</v>
      </c>
      <c r="I377" s="4" t="s">
        <v>71</v>
      </c>
      <c r="J377" s="5">
        <v>8</v>
      </c>
      <c r="K377" s="5">
        <v>285.14</v>
      </c>
      <c r="L377" s="5">
        <v>2281.12</v>
      </c>
      <c r="M377" s="5">
        <v>1414.29</v>
      </c>
      <c r="N377" s="5">
        <v>866.83</v>
      </c>
    </row>
    <row r="378" spans="1:14">
      <c r="A378" s="2">
        <v>44889.416666666657</v>
      </c>
      <c r="B378" s="3">
        <v>2022</v>
      </c>
      <c r="C378" s="4" t="s">
        <v>85</v>
      </c>
      <c r="D378" s="4">
        <v>11</v>
      </c>
      <c r="E378" s="4" t="s">
        <v>30</v>
      </c>
      <c r="F378" s="4" t="s">
        <v>43</v>
      </c>
      <c r="G378" s="4" t="s">
        <v>39</v>
      </c>
      <c r="H378" s="4" t="s">
        <v>78</v>
      </c>
      <c r="I378" s="4" t="s">
        <v>61</v>
      </c>
      <c r="J378" s="5">
        <v>6</v>
      </c>
      <c r="K378" s="5">
        <v>977.37</v>
      </c>
      <c r="L378" s="5">
        <v>5864.22</v>
      </c>
      <c r="M378" s="5">
        <v>3635.82</v>
      </c>
      <c r="N378" s="5">
        <v>2228.4</v>
      </c>
    </row>
    <row r="379" spans="1:14">
      <c r="A379" s="2">
        <v>45245.416666666657</v>
      </c>
      <c r="B379" s="3">
        <v>2023</v>
      </c>
      <c r="C379" s="4" t="s">
        <v>85</v>
      </c>
      <c r="D379" s="4">
        <v>11</v>
      </c>
      <c r="E379" s="4" t="s">
        <v>30</v>
      </c>
      <c r="F379" s="4" t="s">
        <v>44</v>
      </c>
      <c r="G379" s="4" t="s">
        <v>38</v>
      </c>
      <c r="H379" s="4" t="s">
        <v>88</v>
      </c>
      <c r="I379" s="4" t="s">
        <v>61</v>
      </c>
      <c r="J379" s="5">
        <v>39</v>
      </c>
      <c r="K379" s="5">
        <v>340.48</v>
      </c>
      <c r="L379" s="5">
        <v>13278.72</v>
      </c>
      <c r="M379" s="5">
        <v>8232.81</v>
      </c>
      <c r="N379" s="5">
        <v>5045.91</v>
      </c>
    </row>
    <row r="380" spans="1:14">
      <c r="A380" s="2">
        <v>45623.416666666657</v>
      </c>
      <c r="B380" s="3">
        <v>2024</v>
      </c>
      <c r="C380" s="4" t="s">
        <v>85</v>
      </c>
      <c r="D380" s="4">
        <v>11</v>
      </c>
      <c r="E380" s="4" t="s">
        <v>30</v>
      </c>
      <c r="F380" s="4" t="s">
        <v>44</v>
      </c>
      <c r="G380" s="4" t="s">
        <v>36</v>
      </c>
      <c r="H380" s="4" t="s">
        <v>75</v>
      </c>
      <c r="I380" s="4" t="s">
        <v>68</v>
      </c>
      <c r="J380" s="5">
        <v>33</v>
      </c>
      <c r="K380" s="5">
        <v>3317.09</v>
      </c>
      <c r="L380" s="5">
        <v>109463.97</v>
      </c>
      <c r="M380" s="5">
        <v>67867.66</v>
      </c>
      <c r="N380" s="5">
        <v>41596.31</v>
      </c>
    </row>
    <row r="381" spans="1:14">
      <c r="A381" s="2">
        <v>45972.416666666657</v>
      </c>
      <c r="B381" s="3">
        <v>2025</v>
      </c>
      <c r="C381" s="4" t="s">
        <v>85</v>
      </c>
      <c r="D381" s="4">
        <v>11</v>
      </c>
      <c r="E381" s="4" t="s">
        <v>30</v>
      </c>
      <c r="F381" s="4" t="s">
        <v>44</v>
      </c>
      <c r="G381" s="4" t="s">
        <v>36</v>
      </c>
      <c r="H381" s="4" t="s">
        <v>73</v>
      </c>
      <c r="I381" s="4" t="s">
        <v>71</v>
      </c>
      <c r="J381" s="5">
        <v>47</v>
      </c>
      <c r="K381" s="5">
        <v>717.26</v>
      </c>
      <c r="L381" s="5">
        <v>33711.22</v>
      </c>
      <c r="M381" s="5">
        <v>20900.96</v>
      </c>
      <c r="N381" s="5">
        <v>12810.26</v>
      </c>
    </row>
    <row r="382" spans="1:14">
      <c r="A382" s="2">
        <v>44906.416666666657</v>
      </c>
      <c r="B382" s="3">
        <v>2022</v>
      </c>
      <c r="C382" s="4" t="s">
        <v>85</v>
      </c>
      <c r="D382" s="4">
        <v>12</v>
      </c>
      <c r="E382" s="4" t="s">
        <v>31</v>
      </c>
      <c r="F382" s="4" t="s">
        <v>41</v>
      </c>
      <c r="G382" s="4" t="s">
        <v>37</v>
      </c>
      <c r="H382" s="4" t="s">
        <v>84</v>
      </c>
      <c r="I382" s="4" t="s">
        <v>71</v>
      </c>
      <c r="J382" s="5">
        <v>28</v>
      </c>
      <c r="K382" s="5">
        <v>435.53</v>
      </c>
      <c r="L382" s="5">
        <v>12194.84</v>
      </c>
      <c r="M382" s="5">
        <v>7560.8</v>
      </c>
      <c r="N382" s="5">
        <v>4634.04</v>
      </c>
    </row>
    <row r="383" spans="1:14">
      <c r="A383" s="2">
        <v>45285.416666666657</v>
      </c>
      <c r="B383" s="3">
        <v>2023</v>
      </c>
      <c r="C383" s="4" t="s">
        <v>85</v>
      </c>
      <c r="D383" s="4">
        <v>12</v>
      </c>
      <c r="E383" s="4" t="s">
        <v>31</v>
      </c>
      <c r="F383" s="4" t="s">
        <v>40</v>
      </c>
      <c r="G383" s="4" t="s">
        <v>36</v>
      </c>
      <c r="H383" s="4" t="s">
        <v>81</v>
      </c>
      <c r="I383" s="4" t="s">
        <v>68</v>
      </c>
      <c r="J383" s="5">
        <v>39</v>
      </c>
      <c r="K383" s="5">
        <v>4623</v>
      </c>
      <c r="L383" s="5">
        <v>180297</v>
      </c>
      <c r="M383" s="5">
        <v>111784.14</v>
      </c>
      <c r="N383" s="5">
        <v>68512.86</v>
      </c>
    </row>
    <row r="384" spans="1:14">
      <c r="A384" s="2">
        <v>45638.416666666657</v>
      </c>
      <c r="B384" s="3">
        <v>2024</v>
      </c>
      <c r="C384" s="4" t="s">
        <v>85</v>
      </c>
      <c r="D384" s="4">
        <v>12</v>
      </c>
      <c r="E384" s="4" t="s">
        <v>31</v>
      </c>
      <c r="F384" s="4" t="s">
        <v>40</v>
      </c>
      <c r="G384" s="4" t="s">
        <v>35</v>
      </c>
      <c r="H384" s="4" t="s">
        <v>70</v>
      </c>
      <c r="I384" s="4" t="s">
        <v>71</v>
      </c>
      <c r="J384" s="5">
        <v>25</v>
      </c>
      <c r="K384" s="5">
        <v>18.940000000000001</v>
      </c>
      <c r="L384" s="5">
        <v>473.5</v>
      </c>
      <c r="M384" s="5">
        <v>293.57</v>
      </c>
      <c r="N384" s="5">
        <v>179.93</v>
      </c>
    </row>
    <row r="385" spans="1:14">
      <c r="A385" s="2">
        <v>46009.416666666657</v>
      </c>
      <c r="B385" s="3">
        <v>2025</v>
      </c>
      <c r="C385" s="4" t="s">
        <v>85</v>
      </c>
      <c r="D385" s="4">
        <v>12</v>
      </c>
      <c r="E385" s="4" t="s">
        <v>31</v>
      </c>
      <c r="F385" s="4" t="s">
        <v>43</v>
      </c>
      <c r="G385" s="4" t="s">
        <v>38</v>
      </c>
      <c r="H385" s="4" t="s">
        <v>72</v>
      </c>
      <c r="I385" s="4" t="s">
        <v>61</v>
      </c>
      <c r="J385" s="5">
        <v>30</v>
      </c>
      <c r="K385" s="5">
        <v>368.6</v>
      </c>
      <c r="L385" s="5">
        <v>11058</v>
      </c>
      <c r="M385" s="5">
        <v>6855.96</v>
      </c>
      <c r="N385" s="5">
        <v>4202.04</v>
      </c>
    </row>
    <row r="386" spans="1:14">
      <c r="A386" s="2">
        <v>44586.416666666657</v>
      </c>
      <c r="B386" s="3">
        <v>2022</v>
      </c>
      <c r="C386" s="4" t="s">
        <v>59</v>
      </c>
      <c r="D386" s="4">
        <v>1</v>
      </c>
      <c r="E386" s="4" t="s">
        <v>1</v>
      </c>
      <c r="F386" s="4" t="s">
        <v>43</v>
      </c>
      <c r="G386" s="4" t="s">
        <v>36</v>
      </c>
      <c r="H386" s="4" t="s">
        <v>91</v>
      </c>
      <c r="I386" s="4" t="s">
        <v>65</v>
      </c>
      <c r="J386" s="5">
        <v>20</v>
      </c>
      <c r="K386" s="5">
        <v>4629.6499999999996</v>
      </c>
      <c r="L386" s="5">
        <v>92593</v>
      </c>
      <c r="M386" s="5">
        <v>57407.66</v>
      </c>
      <c r="N386" s="5">
        <v>35185.339999999997</v>
      </c>
    </row>
    <row r="387" spans="1:14">
      <c r="A387" s="2">
        <v>44950.416666666657</v>
      </c>
      <c r="B387" s="3">
        <v>2023</v>
      </c>
      <c r="C387" s="4" t="s">
        <v>59</v>
      </c>
      <c r="D387" s="4">
        <v>1</v>
      </c>
      <c r="E387" s="4" t="s">
        <v>1</v>
      </c>
      <c r="F387" s="4" t="s">
        <v>43</v>
      </c>
      <c r="G387" s="4" t="s">
        <v>39</v>
      </c>
      <c r="H387" s="4" t="s">
        <v>82</v>
      </c>
      <c r="I387" s="4" t="s">
        <v>61</v>
      </c>
      <c r="J387" s="5">
        <v>22</v>
      </c>
      <c r="K387" s="5">
        <v>524.03</v>
      </c>
      <c r="L387" s="5">
        <v>11528.66</v>
      </c>
      <c r="M387" s="5">
        <v>7147.77</v>
      </c>
      <c r="N387" s="5">
        <v>4380.8900000000003</v>
      </c>
    </row>
    <row r="388" spans="1:14">
      <c r="A388" s="2">
        <v>45319.416666666657</v>
      </c>
      <c r="B388" s="3">
        <v>2024</v>
      </c>
      <c r="C388" s="4" t="s">
        <v>59</v>
      </c>
      <c r="D388" s="4">
        <v>1</v>
      </c>
      <c r="E388" s="4" t="s">
        <v>1</v>
      </c>
      <c r="F388" s="4" t="s">
        <v>42</v>
      </c>
      <c r="G388" s="4" t="s">
        <v>37</v>
      </c>
      <c r="H388" s="4" t="s">
        <v>87</v>
      </c>
      <c r="I388" s="4" t="s">
        <v>86</v>
      </c>
      <c r="J388" s="5">
        <v>8</v>
      </c>
      <c r="K388" s="5">
        <v>511.9</v>
      </c>
      <c r="L388" s="5">
        <v>4095.2</v>
      </c>
      <c r="M388" s="5">
        <v>2539.02</v>
      </c>
      <c r="N388" s="5">
        <v>1556.18</v>
      </c>
    </row>
    <row r="389" spans="1:14">
      <c r="A389" s="2">
        <v>45666.416666666657</v>
      </c>
      <c r="B389" s="3">
        <v>2025</v>
      </c>
      <c r="C389" s="4" t="s">
        <v>59</v>
      </c>
      <c r="D389" s="4">
        <v>1</v>
      </c>
      <c r="E389" s="4" t="s">
        <v>1</v>
      </c>
      <c r="F389" s="4" t="s">
        <v>44</v>
      </c>
      <c r="G389" s="4" t="s">
        <v>35</v>
      </c>
      <c r="H389" s="4" t="s">
        <v>64</v>
      </c>
      <c r="I389" s="4" t="s">
        <v>68</v>
      </c>
      <c r="J389" s="5">
        <v>4</v>
      </c>
      <c r="K389" s="5">
        <v>72.73</v>
      </c>
      <c r="L389" s="5">
        <v>290.92</v>
      </c>
      <c r="M389" s="5">
        <v>180.37</v>
      </c>
      <c r="N389" s="5">
        <v>110.55</v>
      </c>
    </row>
    <row r="390" spans="1:14">
      <c r="A390" s="2">
        <v>44607.416666666657</v>
      </c>
      <c r="B390" s="3">
        <v>2022</v>
      </c>
      <c r="C390" s="4" t="s">
        <v>59</v>
      </c>
      <c r="D390" s="4">
        <v>2</v>
      </c>
      <c r="E390" s="4" t="s">
        <v>2</v>
      </c>
      <c r="F390" s="4" t="s">
        <v>42</v>
      </c>
      <c r="G390" s="4" t="s">
        <v>39</v>
      </c>
      <c r="H390" s="4" t="s">
        <v>79</v>
      </c>
      <c r="I390" s="4" t="s">
        <v>61</v>
      </c>
      <c r="J390" s="5">
        <v>9</v>
      </c>
      <c r="K390" s="5">
        <v>2248.65</v>
      </c>
      <c r="L390" s="5">
        <v>20237.849999999999</v>
      </c>
      <c r="M390" s="5">
        <v>12547.47</v>
      </c>
      <c r="N390" s="5">
        <v>7690.38</v>
      </c>
    </row>
    <row r="391" spans="1:14">
      <c r="A391" s="2">
        <v>44972.416666666657</v>
      </c>
      <c r="B391" s="3">
        <v>2023</v>
      </c>
      <c r="C391" s="4" t="s">
        <v>59</v>
      </c>
      <c r="D391" s="4">
        <v>2</v>
      </c>
      <c r="E391" s="4" t="s">
        <v>2</v>
      </c>
      <c r="F391" s="4" t="s">
        <v>43</v>
      </c>
      <c r="G391" s="4" t="s">
        <v>39</v>
      </c>
      <c r="H391" s="4" t="s">
        <v>89</v>
      </c>
      <c r="I391" s="4" t="s">
        <v>63</v>
      </c>
      <c r="J391" s="5">
        <v>2</v>
      </c>
      <c r="K391" s="5">
        <v>1321.37</v>
      </c>
      <c r="L391" s="5">
        <v>2642.74</v>
      </c>
      <c r="M391" s="5">
        <v>1638.5</v>
      </c>
      <c r="N391" s="5">
        <v>1004.24</v>
      </c>
    </row>
    <row r="392" spans="1:14">
      <c r="A392" s="2">
        <v>45342.416666666657</v>
      </c>
      <c r="B392" s="3">
        <v>2024</v>
      </c>
      <c r="C392" s="4" t="s">
        <v>59</v>
      </c>
      <c r="D392" s="4">
        <v>2</v>
      </c>
      <c r="E392" s="4" t="s">
        <v>2</v>
      </c>
      <c r="F392" s="4" t="s">
        <v>44</v>
      </c>
      <c r="G392" s="4" t="s">
        <v>38</v>
      </c>
      <c r="H392" s="4" t="s">
        <v>74</v>
      </c>
      <c r="I392" s="4" t="s">
        <v>65</v>
      </c>
      <c r="J392" s="5">
        <v>21</v>
      </c>
      <c r="K392" s="5">
        <v>305.95999999999998</v>
      </c>
      <c r="L392" s="5">
        <v>6425.16</v>
      </c>
      <c r="M392" s="5">
        <v>3983.6</v>
      </c>
      <c r="N392" s="5">
        <v>2441.56</v>
      </c>
    </row>
    <row r="393" spans="1:14">
      <c r="A393" s="2">
        <v>45706.416666666657</v>
      </c>
      <c r="B393" s="3">
        <v>2025</v>
      </c>
      <c r="C393" s="4" t="s">
        <v>59</v>
      </c>
      <c r="D393" s="4">
        <v>2</v>
      </c>
      <c r="E393" s="4" t="s">
        <v>2</v>
      </c>
      <c r="F393" s="4" t="s">
        <v>43</v>
      </c>
      <c r="G393" s="4" t="s">
        <v>36</v>
      </c>
      <c r="H393" s="4" t="s">
        <v>67</v>
      </c>
      <c r="I393" s="4" t="s">
        <v>68</v>
      </c>
      <c r="J393" s="5">
        <v>18</v>
      </c>
      <c r="K393" s="5">
        <v>3489.47</v>
      </c>
      <c r="L393" s="5">
        <v>62810.46</v>
      </c>
      <c r="M393" s="5">
        <v>38942.49</v>
      </c>
      <c r="N393" s="5">
        <v>23867.97</v>
      </c>
    </row>
    <row r="394" spans="1:14">
      <c r="A394" s="2">
        <v>44637.416666666657</v>
      </c>
      <c r="B394" s="3">
        <v>2022</v>
      </c>
      <c r="C394" s="4" t="s">
        <v>59</v>
      </c>
      <c r="D394" s="4">
        <v>3</v>
      </c>
      <c r="E394" s="4" t="s">
        <v>13</v>
      </c>
      <c r="F394" s="4" t="s">
        <v>43</v>
      </c>
      <c r="G394" s="4" t="s">
        <v>36</v>
      </c>
      <c r="H394" s="4" t="s">
        <v>67</v>
      </c>
      <c r="I394" s="4" t="s">
        <v>71</v>
      </c>
      <c r="J394" s="5">
        <v>5</v>
      </c>
      <c r="K394" s="5">
        <v>4288.83</v>
      </c>
      <c r="L394" s="5">
        <v>21444.15</v>
      </c>
      <c r="M394" s="5">
        <v>13295.37</v>
      </c>
      <c r="N394" s="5">
        <v>8148.78</v>
      </c>
    </row>
    <row r="395" spans="1:14">
      <c r="A395" s="2">
        <v>44986.416666666657</v>
      </c>
      <c r="B395" s="3">
        <v>2023</v>
      </c>
      <c r="C395" s="4" t="s">
        <v>59</v>
      </c>
      <c r="D395" s="4">
        <v>3</v>
      </c>
      <c r="E395" s="4" t="s">
        <v>13</v>
      </c>
      <c r="F395" s="4" t="s">
        <v>42</v>
      </c>
      <c r="G395" s="4" t="s">
        <v>37</v>
      </c>
      <c r="H395" s="4" t="s">
        <v>62</v>
      </c>
      <c r="I395" s="4" t="s">
        <v>71</v>
      </c>
      <c r="J395" s="5">
        <v>7</v>
      </c>
      <c r="K395" s="5">
        <v>405.09</v>
      </c>
      <c r="L395" s="5">
        <v>2835.63</v>
      </c>
      <c r="M395" s="5">
        <v>1758.09</v>
      </c>
      <c r="N395" s="5">
        <v>1077.54</v>
      </c>
    </row>
    <row r="396" spans="1:14">
      <c r="A396" s="2">
        <v>45355.416666666657</v>
      </c>
      <c r="B396" s="3">
        <v>2024</v>
      </c>
      <c r="C396" s="4" t="s">
        <v>59</v>
      </c>
      <c r="D396" s="4">
        <v>3</v>
      </c>
      <c r="E396" s="4" t="s">
        <v>13</v>
      </c>
      <c r="F396" s="4" t="s">
        <v>44</v>
      </c>
      <c r="G396" s="4" t="s">
        <v>35</v>
      </c>
      <c r="H396" s="4" t="s">
        <v>70</v>
      </c>
      <c r="I396" s="4" t="s">
        <v>68</v>
      </c>
      <c r="J396" s="5">
        <v>9</v>
      </c>
      <c r="K396" s="5">
        <v>19.91</v>
      </c>
      <c r="L396" s="5">
        <v>179.19</v>
      </c>
      <c r="M396" s="5">
        <v>111.1</v>
      </c>
      <c r="N396" s="5">
        <v>68.09</v>
      </c>
    </row>
    <row r="397" spans="1:14">
      <c r="A397" s="2">
        <v>45731.416666666657</v>
      </c>
      <c r="B397" s="3">
        <v>2025</v>
      </c>
      <c r="C397" s="4" t="s">
        <v>59</v>
      </c>
      <c r="D397" s="4">
        <v>3</v>
      </c>
      <c r="E397" s="4" t="s">
        <v>13</v>
      </c>
      <c r="F397" s="4" t="s">
        <v>40</v>
      </c>
      <c r="G397" s="4" t="s">
        <v>36</v>
      </c>
      <c r="H397" s="4" t="s">
        <v>75</v>
      </c>
      <c r="I397" s="4" t="s">
        <v>65</v>
      </c>
      <c r="J397" s="5">
        <v>9</v>
      </c>
      <c r="K397" s="5">
        <v>4678.76</v>
      </c>
      <c r="L397" s="5">
        <v>42108.84</v>
      </c>
      <c r="M397" s="5">
        <v>26107.48</v>
      </c>
      <c r="N397" s="5">
        <v>16001.36</v>
      </c>
    </row>
    <row r="398" spans="1:14">
      <c r="A398" s="2">
        <v>44679.416666666657</v>
      </c>
      <c r="B398" s="3">
        <v>2022</v>
      </c>
      <c r="C398" s="4" t="s">
        <v>76</v>
      </c>
      <c r="D398" s="4">
        <v>4</v>
      </c>
      <c r="E398" s="4" t="s">
        <v>17</v>
      </c>
      <c r="F398" s="4" t="s">
        <v>41</v>
      </c>
      <c r="G398" s="4" t="s">
        <v>36</v>
      </c>
      <c r="H398" s="4" t="s">
        <v>81</v>
      </c>
      <c r="I398" s="4" t="s">
        <v>86</v>
      </c>
      <c r="J398" s="5">
        <v>6</v>
      </c>
      <c r="K398" s="5">
        <v>2852.4</v>
      </c>
      <c r="L398" s="5">
        <v>17114.400000000001</v>
      </c>
      <c r="M398" s="5">
        <v>10610.93</v>
      </c>
      <c r="N398" s="5">
        <v>6503.47</v>
      </c>
    </row>
    <row r="399" spans="1:14">
      <c r="A399" s="2">
        <v>45044.416666666657</v>
      </c>
      <c r="B399" s="3">
        <v>2023</v>
      </c>
      <c r="C399" s="4" t="s">
        <v>76</v>
      </c>
      <c r="D399" s="4">
        <v>4</v>
      </c>
      <c r="E399" s="4" t="s">
        <v>17</v>
      </c>
      <c r="F399" s="4" t="s">
        <v>40</v>
      </c>
      <c r="G399" s="4" t="s">
        <v>35</v>
      </c>
      <c r="H399" s="4" t="s">
        <v>92</v>
      </c>
      <c r="I399" s="4" t="s">
        <v>86</v>
      </c>
      <c r="J399" s="5">
        <v>24</v>
      </c>
      <c r="K399" s="5">
        <v>56.89</v>
      </c>
      <c r="L399" s="5">
        <v>1365.36</v>
      </c>
      <c r="M399" s="5">
        <v>846.52</v>
      </c>
      <c r="N399" s="5">
        <v>518.84</v>
      </c>
    </row>
    <row r="400" spans="1:14">
      <c r="A400" s="2">
        <v>45407.416666666657</v>
      </c>
      <c r="B400" s="3">
        <v>2024</v>
      </c>
      <c r="C400" s="4" t="s">
        <v>76</v>
      </c>
      <c r="D400" s="4">
        <v>4</v>
      </c>
      <c r="E400" s="4" t="s">
        <v>17</v>
      </c>
      <c r="F400" s="4" t="s">
        <v>44</v>
      </c>
      <c r="G400" s="4" t="s">
        <v>37</v>
      </c>
      <c r="H400" s="4" t="s">
        <v>87</v>
      </c>
      <c r="I400" s="4" t="s">
        <v>61</v>
      </c>
      <c r="J400" s="5">
        <v>40</v>
      </c>
      <c r="K400" s="5">
        <v>337.53</v>
      </c>
      <c r="L400" s="5">
        <v>13501.2</v>
      </c>
      <c r="M400" s="5">
        <v>8370.74</v>
      </c>
      <c r="N400" s="5">
        <v>5130.46</v>
      </c>
    </row>
    <row r="401" spans="1:14">
      <c r="A401" s="2">
        <v>45757.416666666657</v>
      </c>
      <c r="B401" s="3">
        <v>2025</v>
      </c>
      <c r="C401" s="4" t="s">
        <v>76</v>
      </c>
      <c r="D401" s="4">
        <v>4</v>
      </c>
      <c r="E401" s="4" t="s">
        <v>17</v>
      </c>
      <c r="F401" s="4" t="s">
        <v>42</v>
      </c>
      <c r="G401" s="4" t="s">
        <v>39</v>
      </c>
      <c r="H401" s="4" t="s">
        <v>79</v>
      </c>
      <c r="I401" s="4" t="s">
        <v>63</v>
      </c>
      <c r="J401" s="5">
        <v>11</v>
      </c>
      <c r="K401" s="5">
        <v>1698.35</v>
      </c>
      <c r="L401" s="5">
        <v>18681.849999999999</v>
      </c>
      <c r="M401" s="5">
        <v>11582.75</v>
      </c>
      <c r="N401" s="5">
        <v>7099.1</v>
      </c>
    </row>
    <row r="402" spans="1:14">
      <c r="A402" s="2">
        <v>44699.416666666657</v>
      </c>
      <c r="B402" s="3">
        <v>2022</v>
      </c>
      <c r="C402" s="4" t="s">
        <v>76</v>
      </c>
      <c r="D402" s="4">
        <v>5</v>
      </c>
      <c r="E402" s="4" t="s">
        <v>18</v>
      </c>
      <c r="F402" s="4" t="s">
        <v>44</v>
      </c>
      <c r="G402" s="4" t="s">
        <v>37</v>
      </c>
      <c r="H402" s="4" t="s">
        <v>66</v>
      </c>
      <c r="I402" s="4" t="s">
        <v>68</v>
      </c>
      <c r="J402" s="5">
        <v>5</v>
      </c>
      <c r="K402" s="5">
        <v>310.70999999999998</v>
      </c>
      <c r="L402" s="5">
        <v>1553.55</v>
      </c>
      <c r="M402" s="5">
        <v>963.2</v>
      </c>
      <c r="N402" s="5">
        <v>590.35</v>
      </c>
    </row>
    <row r="403" spans="1:14">
      <c r="A403" s="2">
        <v>45064.416666666657</v>
      </c>
      <c r="B403" s="3">
        <v>2023</v>
      </c>
      <c r="C403" s="4" t="s">
        <v>76</v>
      </c>
      <c r="D403" s="4">
        <v>5</v>
      </c>
      <c r="E403" s="4" t="s">
        <v>18</v>
      </c>
      <c r="F403" s="4" t="s">
        <v>42</v>
      </c>
      <c r="G403" s="4" t="s">
        <v>36</v>
      </c>
      <c r="H403" s="4" t="s">
        <v>81</v>
      </c>
      <c r="I403" s="4" t="s">
        <v>65</v>
      </c>
      <c r="J403" s="5">
        <v>11</v>
      </c>
      <c r="K403" s="5">
        <v>865.3</v>
      </c>
      <c r="L403" s="5">
        <v>9518.2999999999993</v>
      </c>
      <c r="M403" s="5">
        <v>5901.35</v>
      </c>
      <c r="N403" s="5">
        <v>3616.95</v>
      </c>
    </row>
    <row r="404" spans="1:14">
      <c r="A404" s="2">
        <v>45420.416666666657</v>
      </c>
      <c r="B404" s="3">
        <v>2024</v>
      </c>
      <c r="C404" s="4" t="s">
        <v>76</v>
      </c>
      <c r="D404" s="4">
        <v>5</v>
      </c>
      <c r="E404" s="4" t="s">
        <v>18</v>
      </c>
      <c r="F404" s="4" t="s">
        <v>42</v>
      </c>
      <c r="G404" s="4" t="s">
        <v>37</v>
      </c>
      <c r="H404" s="4" t="s">
        <v>93</v>
      </c>
      <c r="I404" s="4" t="s">
        <v>65</v>
      </c>
      <c r="J404" s="5">
        <v>4</v>
      </c>
      <c r="K404" s="5">
        <v>201.02</v>
      </c>
      <c r="L404" s="5">
        <v>804.08</v>
      </c>
      <c r="M404" s="5">
        <v>498.53</v>
      </c>
      <c r="N404" s="5">
        <v>305.55</v>
      </c>
    </row>
    <row r="405" spans="1:14">
      <c r="A405" s="2">
        <v>45788.416666666657</v>
      </c>
      <c r="B405" s="3">
        <v>2025</v>
      </c>
      <c r="C405" s="4" t="s">
        <v>76</v>
      </c>
      <c r="D405" s="4">
        <v>5</v>
      </c>
      <c r="E405" s="4" t="s">
        <v>18</v>
      </c>
      <c r="F405" s="4" t="s">
        <v>43</v>
      </c>
      <c r="G405" s="4" t="s">
        <v>35</v>
      </c>
      <c r="H405" s="4" t="s">
        <v>90</v>
      </c>
      <c r="I405" s="4" t="s">
        <v>71</v>
      </c>
      <c r="J405" s="5">
        <v>6</v>
      </c>
      <c r="K405" s="5">
        <v>105.08</v>
      </c>
      <c r="L405" s="5">
        <v>630.48</v>
      </c>
      <c r="M405" s="5">
        <v>390.9</v>
      </c>
      <c r="N405" s="5">
        <v>239.58</v>
      </c>
    </row>
    <row r="406" spans="1:14">
      <c r="A406" s="2">
        <v>44719.416666666657</v>
      </c>
      <c r="B406" s="3">
        <v>2022</v>
      </c>
      <c r="C406" s="4" t="s">
        <v>76</v>
      </c>
      <c r="D406" s="4">
        <v>6</v>
      </c>
      <c r="E406" s="4" t="s">
        <v>19</v>
      </c>
      <c r="F406" s="4" t="s">
        <v>43</v>
      </c>
      <c r="G406" s="4" t="s">
        <v>36</v>
      </c>
      <c r="H406" s="4" t="s">
        <v>91</v>
      </c>
      <c r="I406" s="4" t="s">
        <v>63</v>
      </c>
      <c r="J406" s="5">
        <v>21</v>
      </c>
      <c r="K406" s="5">
        <v>3306.81</v>
      </c>
      <c r="L406" s="5">
        <v>69443.009999999995</v>
      </c>
      <c r="M406" s="5">
        <v>43054.67</v>
      </c>
      <c r="N406" s="5">
        <v>26388.34</v>
      </c>
    </row>
    <row r="407" spans="1:14">
      <c r="A407" s="2">
        <v>45088.416666666657</v>
      </c>
      <c r="B407" s="3">
        <v>2023</v>
      </c>
      <c r="C407" s="4" t="s">
        <v>76</v>
      </c>
      <c r="D407" s="4">
        <v>6</v>
      </c>
      <c r="E407" s="4" t="s">
        <v>19</v>
      </c>
      <c r="F407" s="4" t="s">
        <v>43</v>
      </c>
      <c r="G407" s="4" t="s">
        <v>37</v>
      </c>
      <c r="H407" s="4" t="s">
        <v>84</v>
      </c>
      <c r="I407" s="4" t="s">
        <v>61</v>
      </c>
      <c r="J407" s="5">
        <v>18</v>
      </c>
      <c r="K407" s="5">
        <v>498.11</v>
      </c>
      <c r="L407" s="5">
        <v>8965.98</v>
      </c>
      <c r="M407" s="5">
        <v>5558.91</v>
      </c>
      <c r="N407" s="5">
        <v>3407.07</v>
      </c>
    </row>
    <row r="408" spans="1:14">
      <c r="A408" s="2">
        <v>45446.416666666657</v>
      </c>
      <c r="B408" s="3">
        <v>2024</v>
      </c>
      <c r="C408" s="4" t="s">
        <v>76</v>
      </c>
      <c r="D408" s="4">
        <v>6</v>
      </c>
      <c r="E408" s="4" t="s">
        <v>19</v>
      </c>
      <c r="F408" s="4" t="s">
        <v>44</v>
      </c>
      <c r="G408" s="4" t="s">
        <v>38</v>
      </c>
      <c r="H408" s="4" t="s">
        <v>72</v>
      </c>
      <c r="I408" s="4" t="s">
        <v>68</v>
      </c>
      <c r="J408" s="5">
        <v>18</v>
      </c>
      <c r="K408" s="5">
        <v>320.3</v>
      </c>
      <c r="L408" s="5">
        <v>5765.4</v>
      </c>
      <c r="M408" s="5">
        <v>3574.55</v>
      </c>
      <c r="N408" s="5">
        <v>2190.85</v>
      </c>
    </row>
    <row r="409" spans="1:14">
      <c r="A409" s="2">
        <v>45824.416666666657</v>
      </c>
      <c r="B409" s="3">
        <v>2025</v>
      </c>
      <c r="C409" s="4" t="s">
        <v>76</v>
      </c>
      <c r="D409" s="4">
        <v>6</v>
      </c>
      <c r="E409" s="4" t="s">
        <v>19</v>
      </c>
      <c r="F409" s="4" t="s">
        <v>42</v>
      </c>
      <c r="G409" s="4" t="s">
        <v>36</v>
      </c>
      <c r="H409" s="4" t="s">
        <v>75</v>
      </c>
      <c r="I409" s="4" t="s">
        <v>61</v>
      </c>
      <c r="J409" s="5">
        <v>19</v>
      </c>
      <c r="K409" s="5">
        <v>1174.68</v>
      </c>
      <c r="L409" s="5">
        <v>22318.92</v>
      </c>
      <c r="M409" s="5">
        <v>13837.73</v>
      </c>
      <c r="N409" s="5">
        <v>8481.19</v>
      </c>
    </row>
    <row r="410" spans="1:14">
      <c r="A410" s="2">
        <v>44750.416666666657</v>
      </c>
      <c r="B410" s="3">
        <v>2022</v>
      </c>
      <c r="C410" s="4" t="s">
        <v>80</v>
      </c>
      <c r="D410" s="4">
        <v>7</v>
      </c>
      <c r="E410" s="4" t="s">
        <v>21</v>
      </c>
      <c r="F410" s="4" t="s">
        <v>40</v>
      </c>
      <c r="G410" s="4" t="s">
        <v>39</v>
      </c>
      <c r="H410" s="4" t="s">
        <v>60</v>
      </c>
      <c r="I410" s="4" t="s">
        <v>86</v>
      </c>
      <c r="J410" s="5">
        <v>14</v>
      </c>
      <c r="K410" s="5">
        <v>3813.33</v>
      </c>
      <c r="L410" s="5">
        <v>53386.62</v>
      </c>
      <c r="M410" s="5">
        <v>33099.699999999997</v>
      </c>
      <c r="N410" s="5">
        <v>20286.919999999998</v>
      </c>
    </row>
    <row r="411" spans="1:14">
      <c r="A411" s="2">
        <v>45134.416666666657</v>
      </c>
      <c r="B411" s="3">
        <v>2023</v>
      </c>
      <c r="C411" s="4" t="s">
        <v>80</v>
      </c>
      <c r="D411" s="4">
        <v>7</v>
      </c>
      <c r="E411" s="4" t="s">
        <v>21</v>
      </c>
      <c r="F411" s="4" t="s">
        <v>44</v>
      </c>
      <c r="G411" s="4" t="s">
        <v>37</v>
      </c>
      <c r="H411" s="4" t="s">
        <v>93</v>
      </c>
      <c r="I411" s="4" t="s">
        <v>71</v>
      </c>
      <c r="J411" s="5">
        <v>17</v>
      </c>
      <c r="K411" s="5">
        <v>157.11000000000001</v>
      </c>
      <c r="L411" s="5">
        <v>2670.87</v>
      </c>
      <c r="M411" s="5">
        <v>1655.94</v>
      </c>
      <c r="N411" s="5">
        <v>1014.93</v>
      </c>
    </row>
    <row r="412" spans="1:14">
      <c r="A412" s="2">
        <v>45486.416666666657</v>
      </c>
      <c r="B412" s="3">
        <v>2024</v>
      </c>
      <c r="C412" s="4" t="s">
        <v>80</v>
      </c>
      <c r="D412" s="4">
        <v>7</v>
      </c>
      <c r="E412" s="4" t="s">
        <v>21</v>
      </c>
      <c r="F412" s="4" t="s">
        <v>40</v>
      </c>
      <c r="G412" s="4" t="s">
        <v>38</v>
      </c>
      <c r="H412" s="4" t="s">
        <v>83</v>
      </c>
      <c r="I412" s="4" t="s">
        <v>61</v>
      </c>
      <c r="J412" s="5">
        <v>21</v>
      </c>
      <c r="K412" s="5">
        <v>168.56</v>
      </c>
      <c r="L412" s="5">
        <v>3539.76</v>
      </c>
      <c r="M412" s="5">
        <v>2194.65</v>
      </c>
      <c r="N412" s="5">
        <v>1345.11</v>
      </c>
    </row>
    <row r="413" spans="1:14">
      <c r="A413" s="2">
        <v>45841.416666666657</v>
      </c>
      <c r="B413" s="3">
        <v>2025</v>
      </c>
      <c r="C413" s="4" t="s">
        <v>80</v>
      </c>
      <c r="D413" s="4">
        <v>7</v>
      </c>
      <c r="E413" s="4" t="s">
        <v>21</v>
      </c>
      <c r="F413" s="4" t="s">
        <v>41</v>
      </c>
      <c r="G413" s="4" t="s">
        <v>37</v>
      </c>
      <c r="H413" s="4" t="s">
        <v>84</v>
      </c>
      <c r="I413" s="4" t="s">
        <v>71</v>
      </c>
      <c r="J413" s="5">
        <v>3</v>
      </c>
      <c r="K413" s="5">
        <v>468.68</v>
      </c>
      <c r="L413" s="5">
        <v>1406.04</v>
      </c>
      <c r="M413" s="5">
        <v>871.74</v>
      </c>
      <c r="N413" s="5">
        <v>534.29999999999995</v>
      </c>
    </row>
    <row r="414" spans="1:14">
      <c r="A414" s="2">
        <v>44777.416666666657</v>
      </c>
      <c r="B414" s="3">
        <v>2022</v>
      </c>
      <c r="C414" s="4" t="s">
        <v>80</v>
      </c>
      <c r="D414" s="4">
        <v>8</v>
      </c>
      <c r="E414" s="4" t="s">
        <v>22</v>
      </c>
      <c r="F414" s="4" t="s">
        <v>41</v>
      </c>
      <c r="G414" s="4" t="s">
        <v>39</v>
      </c>
      <c r="H414" s="4" t="s">
        <v>60</v>
      </c>
      <c r="I414" s="4" t="s">
        <v>61</v>
      </c>
      <c r="J414" s="5">
        <v>13</v>
      </c>
      <c r="K414" s="5">
        <v>2287.38</v>
      </c>
      <c r="L414" s="5">
        <v>29735.94</v>
      </c>
      <c r="M414" s="5">
        <v>18436.28</v>
      </c>
      <c r="N414" s="5">
        <v>11299.66</v>
      </c>
    </row>
    <row r="415" spans="1:14">
      <c r="A415" s="2">
        <v>45164.416666666657</v>
      </c>
      <c r="B415" s="3">
        <v>2023</v>
      </c>
      <c r="C415" s="4" t="s">
        <v>80</v>
      </c>
      <c r="D415" s="4">
        <v>8</v>
      </c>
      <c r="E415" s="4" t="s">
        <v>22</v>
      </c>
      <c r="F415" s="4" t="s">
        <v>44</v>
      </c>
      <c r="G415" s="4" t="s">
        <v>36</v>
      </c>
      <c r="H415" s="4" t="s">
        <v>75</v>
      </c>
      <c r="I415" s="4" t="s">
        <v>61</v>
      </c>
      <c r="J415" s="5">
        <v>4</v>
      </c>
      <c r="K415" s="5">
        <v>4511.7299999999996</v>
      </c>
      <c r="L415" s="5">
        <v>18046.919999999998</v>
      </c>
      <c r="M415" s="5">
        <v>11189.09</v>
      </c>
      <c r="N415" s="5">
        <v>6857.83</v>
      </c>
    </row>
    <row r="416" spans="1:14">
      <c r="A416" s="2">
        <v>45525.416666666657</v>
      </c>
      <c r="B416" s="3">
        <v>2024</v>
      </c>
      <c r="C416" s="4" t="s">
        <v>80</v>
      </c>
      <c r="D416" s="4">
        <v>8</v>
      </c>
      <c r="E416" s="4" t="s">
        <v>22</v>
      </c>
      <c r="F416" s="4" t="s">
        <v>42</v>
      </c>
      <c r="G416" s="4" t="s">
        <v>38</v>
      </c>
      <c r="H416" s="4" t="s">
        <v>88</v>
      </c>
      <c r="I416" s="4" t="s">
        <v>68</v>
      </c>
      <c r="J416" s="5">
        <v>23</v>
      </c>
      <c r="K416" s="5">
        <v>256.3</v>
      </c>
      <c r="L416" s="5">
        <v>5894.9</v>
      </c>
      <c r="M416" s="5">
        <v>3654.84</v>
      </c>
      <c r="N416" s="5">
        <v>2240.06</v>
      </c>
    </row>
    <row r="417" spans="1:14">
      <c r="A417" s="2">
        <v>45887.416666666657</v>
      </c>
      <c r="B417" s="3">
        <v>2025</v>
      </c>
      <c r="C417" s="4" t="s">
        <v>80</v>
      </c>
      <c r="D417" s="4">
        <v>8</v>
      </c>
      <c r="E417" s="4" t="s">
        <v>22</v>
      </c>
      <c r="F417" s="4" t="s">
        <v>41</v>
      </c>
      <c r="G417" s="4" t="s">
        <v>35</v>
      </c>
      <c r="H417" s="4" t="s">
        <v>70</v>
      </c>
      <c r="I417" s="4" t="s">
        <v>61</v>
      </c>
      <c r="J417" s="5">
        <v>2</v>
      </c>
      <c r="K417" s="5">
        <v>113.17</v>
      </c>
      <c r="L417" s="5">
        <v>226.34</v>
      </c>
      <c r="M417" s="5">
        <v>140.33000000000001</v>
      </c>
      <c r="N417" s="5">
        <v>86.01</v>
      </c>
    </row>
    <row r="418" spans="1:14">
      <c r="A418" s="2">
        <v>44832.416666666657</v>
      </c>
      <c r="B418" s="3">
        <v>2022</v>
      </c>
      <c r="C418" s="4" t="s">
        <v>80</v>
      </c>
      <c r="D418" s="4">
        <v>9</v>
      </c>
      <c r="E418" s="4" t="s">
        <v>23</v>
      </c>
      <c r="F418" s="4" t="s">
        <v>42</v>
      </c>
      <c r="G418" s="4" t="s">
        <v>37</v>
      </c>
      <c r="H418" s="4" t="s">
        <v>62</v>
      </c>
      <c r="I418" s="4" t="s">
        <v>71</v>
      </c>
      <c r="J418" s="5">
        <v>8</v>
      </c>
      <c r="K418" s="5">
        <v>219.91</v>
      </c>
      <c r="L418" s="5">
        <v>1759.28</v>
      </c>
      <c r="M418" s="5">
        <v>1090.75</v>
      </c>
      <c r="N418" s="5">
        <v>668.53</v>
      </c>
    </row>
    <row r="419" spans="1:14">
      <c r="A419" s="2">
        <v>45186.416666666657</v>
      </c>
      <c r="B419" s="3">
        <v>2023</v>
      </c>
      <c r="C419" s="4" t="s">
        <v>80</v>
      </c>
      <c r="D419" s="4">
        <v>9</v>
      </c>
      <c r="E419" s="4" t="s">
        <v>23</v>
      </c>
      <c r="F419" s="4" t="s">
        <v>40</v>
      </c>
      <c r="G419" s="4" t="s">
        <v>38</v>
      </c>
      <c r="H419" s="4" t="s">
        <v>74</v>
      </c>
      <c r="I419" s="4" t="s">
        <v>86</v>
      </c>
      <c r="J419" s="5">
        <v>5</v>
      </c>
      <c r="K419" s="5">
        <v>142.52000000000001</v>
      </c>
      <c r="L419" s="5">
        <v>712.6</v>
      </c>
      <c r="M419" s="5">
        <v>441.81</v>
      </c>
      <c r="N419" s="5">
        <v>270.79000000000002</v>
      </c>
    </row>
    <row r="420" spans="1:14">
      <c r="A420" s="2">
        <v>45549.416666666657</v>
      </c>
      <c r="B420" s="3">
        <v>2024</v>
      </c>
      <c r="C420" s="4" t="s">
        <v>80</v>
      </c>
      <c r="D420" s="4">
        <v>9</v>
      </c>
      <c r="E420" s="4" t="s">
        <v>23</v>
      </c>
      <c r="F420" s="4" t="s">
        <v>43</v>
      </c>
      <c r="G420" s="4" t="s">
        <v>35</v>
      </c>
      <c r="H420" s="4" t="s">
        <v>92</v>
      </c>
      <c r="I420" s="4" t="s">
        <v>63</v>
      </c>
      <c r="J420" s="5">
        <v>14</v>
      </c>
      <c r="K420" s="5">
        <v>105.91</v>
      </c>
      <c r="L420" s="5">
        <v>1482.74</v>
      </c>
      <c r="M420" s="5">
        <v>919.3</v>
      </c>
      <c r="N420" s="5">
        <v>563.44000000000005</v>
      </c>
    </row>
    <row r="421" spans="1:14">
      <c r="A421" s="2">
        <v>45920.416666666657</v>
      </c>
      <c r="B421" s="3">
        <v>2025</v>
      </c>
      <c r="C421" s="4" t="s">
        <v>80</v>
      </c>
      <c r="D421" s="4">
        <v>9</v>
      </c>
      <c r="E421" s="4" t="s">
        <v>23</v>
      </c>
      <c r="F421" s="4" t="s">
        <v>40</v>
      </c>
      <c r="G421" s="4" t="s">
        <v>39</v>
      </c>
      <c r="H421" s="4" t="s">
        <v>78</v>
      </c>
      <c r="I421" s="4" t="s">
        <v>65</v>
      </c>
      <c r="J421" s="5">
        <v>3</v>
      </c>
      <c r="K421" s="5">
        <v>5329.8</v>
      </c>
      <c r="L421" s="5">
        <v>15989.4</v>
      </c>
      <c r="M421" s="5">
        <v>9913.43</v>
      </c>
      <c r="N421" s="5">
        <v>6075.97</v>
      </c>
    </row>
    <row r="422" spans="1:14">
      <c r="A422" s="2">
        <v>44848.416666666657</v>
      </c>
      <c r="B422" s="3">
        <v>2022</v>
      </c>
      <c r="C422" s="4" t="s">
        <v>85</v>
      </c>
      <c r="D422" s="4">
        <v>10</v>
      </c>
      <c r="E422" s="4" t="s">
        <v>29</v>
      </c>
      <c r="F422" s="4" t="s">
        <v>43</v>
      </c>
      <c r="G422" s="4" t="s">
        <v>35</v>
      </c>
      <c r="H422" s="4" t="s">
        <v>64</v>
      </c>
      <c r="I422" s="4" t="s">
        <v>63</v>
      </c>
      <c r="J422" s="5">
        <v>25</v>
      </c>
      <c r="K422" s="5">
        <v>137.16999999999999</v>
      </c>
      <c r="L422" s="5">
        <v>3429.25</v>
      </c>
      <c r="M422" s="5">
        <v>2126.13</v>
      </c>
      <c r="N422" s="5">
        <v>1303.1199999999999</v>
      </c>
    </row>
    <row r="423" spans="1:14">
      <c r="A423" s="2">
        <v>45220.416666666657</v>
      </c>
      <c r="B423" s="3">
        <v>2023</v>
      </c>
      <c r="C423" s="4" t="s">
        <v>85</v>
      </c>
      <c r="D423" s="4">
        <v>10</v>
      </c>
      <c r="E423" s="4" t="s">
        <v>29</v>
      </c>
      <c r="F423" s="4" t="s">
        <v>42</v>
      </c>
      <c r="G423" s="4" t="s">
        <v>36</v>
      </c>
      <c r="H423" s="4" t="s">
        <v>81</v>
      </c>
      <c r="I423" s="4" t="s">
        <v>71</v>
      </c>
      <c r="J423" s="5">
        <v>22</v>
      </c>
      <c r="K423" s="5">
        <v>857.64</v>
      </c>
      <c r="L423" s="5">
        <v>18868.080000000002</v>
      </c>
      <c r="M423" s="5">
        <v>11698.21</v>
      </c>
      <c r="N423" s="5">
        <v>7169.87</v>
      </c>
    </row>
    <row r="424" spans="1:14">
      <c r="A424" s="2">
        <v>45581.416666666657</v>
      </c>
      <c r="B424" s="3">
        <v>2024</v>
      </c>
      <c r="C424" s="4" t="s">
        <v>85</v>
      </c>
      <c r="D424" s="4">
        <v>10</v>
      </c>
      <c r="E424" s="4" t="s">
        <v>29</v>
      </c>
      <c r="F424" s="4" t="s">
        <v>43</v>
      </c>
      <c r="G424" s="4" t="s">
        <v>38</v>
      </c>
      <c r="H424" s="4" t="s">
        <v>74</v>
      </c>
      <c r="I424" s="4" t="s">
        <v>61</v>
      </c>
      <c r="J424" s="5">
        <v>8</v>
      </c>
      <c r="K424" s="5">
        <v>92.99</v>
      </c>
      <c r="L424" s="5">
        <v>743.92</v>
      </c>
      <c r="M424" s="5">
        <v>461.23</v>
      </c>
      <c r="N424" s="5">
        <v>282.69</v>
      </c>
    </row>
    <row r="425" spans="1:14">
      <c r="A425" s="2">
        <v>45935.416666666657</v>
      </c>
      <c r="B425" s="3">
        <v>2025</v>
      </c>
      <c r="C425" s="4" t="s">
        <v>85</v>
      </c>
      <c r="D425" s="4">
        <v>10</v>
      </c>
      <c r="E425" s="4" t="s">
        <v>29</v>
      </c>
      <c r="F425" s="4" t="s">
        <v>41</v>
      </c>
      <c r="G425" s="4" t="s">
        <v>39</v>
      </c>
      <c r="H425" s="4" t="s">
        <v>79</v>
      </c>
      <c r="I425" s="4" t="s">
        <v>65</v>
      </c>
      <c r="J425" s="5">
        <v>4</v>
      </c>
      <c r="K425" s="5">
        <v>6433.04</v>
      </c>
      <c r="L425" s="5">
        <v>25732.16</v>
      </c>
      <c r="M425" s="5">
        <v>15953.94</v>
      </c>
      <c r="N425" s="5">
        <v>9778.2199999999993</v>
      </c>
    </row>
    <row r="426" spans="1:14">
      <c r="A426" s="2">
        <v>44867.416666666657</v>
      </c>
      <c r="B426" s="3">
        <v>2022</v>
      </c>
      <c r="C426" s="4" t="s">
        <v>85</v>
      </c>
      <c r="D426" s="4">
        <v>11</v>
      </c>
      <c r="E426" s="4" t="s">
        <v>30</v>
      </c>
      <c r="F426" s="4" t="s">
        <v>40</v>
      </c>
      <c r="G426" s="4" t="s">
        <v>39</v>
      </c>
      <c r="H426" s="4" t="s">
        <v>60</v>
      </c>
      <c r="I426" s="4" t="s">
        <v>63</v>
      </c>
      <c r="J426" s="5">
        <v>31</v>
      </c>
      <c r="K426" s="5">
        <v>6419.77</v>
      </c>
      <c r="L426" s="5">
        <v>199012.87</v>
      </c>
      <c r="M426" s="5">
        <v>123387.98</v>
      </c>
      <c r="N426" s="5">
        <v>75624.89</v>
      </c>
    </row>
    <row r="427" spans="1:14">
      <c r="A427" s="2">
        <v>45245.416666666657</v>
      </c>
      <c r="B427" s="3">
        <v>2023</v>
      </c>
      <c r="C427" s="4" t="s">
        <v>85</v>
      </c>
      <c r="D427" s="4">
        <v>11</v>
      </c>
      <c r="E427" s="4" t="s">
        <v>30</v>
      </c>
      <c r="F427" s="4" t="s">
        <v>40</v>
      </c>
      <c r="G427" s="4" t="s">
        <v>37</v>
      </c>
      <c r="H427" s="4" t="s">
        <v>87</v>
      </c>
      <c r="I427" s="4" t="s">
        <v>86</v>
      </c>
      <c r="J427" s="5">
        <v>7</v>
      </c>
      <c r="K427" s="5">
        <v>356.09</v>
      </c>
      <c r="L427" s="5">
        <v>2492.63</v>
      </c>
      <c r="M427" s="5">
        <v>1545.43</v>
      </c>
      <c r="N427" s="5">
        <v>947.2</v>
      </c>
    </row>
    <row r="428" spans="1:14">
      <c r="A428" s="2">
        <v>45601.416666666657</v>
      </c>
      <c r="B428" s="3">
        <v>2024</v>
      </c>
      <c r="C428" s="4" t="s">
        <v>85</v>
      </c>
      <c r="D428" s="4">
        <v>11</v>
      </c>
      <c r="E428" s="4" t="s">
        <v>30</v>
      </c>
      <c r="F428" s="4" t="s">
        <v>44</v>
      </c>
      <c r="G428" s="4" t="s">
        <v>35</v>
      </c>
      <c r="H428" s="4" t="s">
        <v>92</v>
      </c>
      <c r="I428" s="4" t="s">
        <v>65</v>
      </c>
      <c r="J428" s="5">
        <v>12</v>
      </c>
      <c r="K428" s="5">
        <v>91.63</v>
      </c>
      <c r="L428" s="5">
        <v>1099.56</v>
      </c>
      <c r="M428" s="5">
        <v>681.73</v>
      </c>
      <c r="N428" s="5">
        <v>417.83</v>
      </c>
    </row>
    <row r="429" spans="1:14">
      <c r="A429" s="2">
        <v>45962.416666666657</v>
      </c>
      <c r="B429" s="3">
        <v>2025</v>
      </c>
      <c r="C429" s="4" t="s">
        <v>85</v>
      </c>
      <c r="D429" s="4">
        <v>11</v>
      </c>
      <c r="E429" s="4" t="s">
        <v>30</v>
      </c>
      <c r="F429" s="4" t="s">
        <v>43</v>
      </c>
      <c r="G429" s="4" t="s">
        <v>39</v>
      </c>
      <c r="H429" s="4" t="s">
        <v>89</v>
      </c>
      <c r="I429" s="4" t="s">
        <v>61</v>
      </c>
      <c r="J429" s="5">
        <v>48</v>
      </c>
      <c r="K429" s="5">
        <v>3539.96</v>
      </c>
      <c r="L429" s="5">
        <v>169918.07999999999</v>
      </c>
      <c r="M429" s="5">
        <v>105349.21</v>
      </c>
      <c r="N429" s="5">
        <v>64568.87</v>
      </c>
    </row>
    <row r="430" spans="1:14">
      <c r="A430" s="2">
        <v>44896.416666666657</v>
      </c>
      <c r="B430" s="3">
        <v>2022</v>
      </c>
      <c r="C430" s="4" t="s">
        <v>85</v>
      </c>
      <c r="D430" s="4">
        <v>12</v>
      </c>
      <c r="E430" s="4" t="s">
        <v>31</v>
      </c>
      <c r="F430" s="4" t="s">
        <v>42</v>
      </c>
      <c r="G430" s="4" t="s">
        <v>39</v>
      </c>
      <c r="H430" s="4" t="s">
        <v>79</v>
      </c>
      <c r="I430" s="4" t="s">
        <v>68</v>
      </c>
      <c r="J430" s="5">
        <v>13</v>
      </c>
      <c r="K430" s="5">
        <v>4275.3</v>
      </c>
      <c r="L430" s="5">
        <v>55578.9</v>
      </c>
      <c r="M430" s="5">
        <v>34458.92</v>
      </c>
      <c r="N430" s="5">
        <v>21119.98</v>
      </c>
    </row>
    <row r="431" spans="1:14">
      <c r="A431" s="2">
        <v>45268.416666666657</v>
      </c>
      <c r="B431" s="3">
        <v>2023</v>
      </c>
      <c r="C431" s="4" t="s">
        <v>85</v>
      </c>
      <c r="D431" s="4">
        <v>12</v>
      </c>
      <c r="E431" s="4" t="s">
        <v>31</v>
      </c>
      <c r="F431" s="4" t="s">
        <v>44</v>
      </c>
      <c r="G431" s="4" t="s">
        <v>39</v>
      </c>
      <c r="H431" s="4" t="s">
        <v>60</v>
      </c>
      <c r="I431" s="4" t="s">
        <v>65</v>
      </c>
      <c r="J431" s="5">
        <v>6</v>
      </c>
      <c r="K431" s="5">
        <v>1207.5</v>
      </c>
      <c r="L431" s="5">
        <v>7245</v>
      </c>
      <c r="M431" s="5">
        <v>4491.8999999999996</v>
      </c>
      <c r="N431" s="5">
        <v>2753.1</v>
      </c>
    </row>
    <row r="432" spans="1:14">
      <c r="A432" s="2">
        <v>45644.416666666657</v>
      </c>
      <c r="B432" s="3">
        <v>2024</v>
      </c>
      <c r="C432" s="4" t="s">
        <v>85</v>
      </c>
      <c r="D432" s="4">
        <v>12</v>
      </c>
      <c r="E432" s="4" t="s">
        <v>31</v>
      </c>
      <c r="F432" s="4" t="s">
        <v>44</v>
      </c>
      <c r="G432" s="4" t="s">
        <v>35</v>
      </c>
      <c r="H432" s="4" t="s">
        <v>64</v>
      </c>
      <c r="I432" s="4" t="s">
        <v>65</v>
      </c>
      <c r="J432" s="5">
        <v>47</v>
      </c>
      <c r="K432" s="5">
        <v>121.42</v>
      </c>
      <c r="L432" s="5">
        <v>5706.74</v>
      </c>
      <c r="M432" s="5">
        <v>3538.18</v>
      </c>
      <c r="N432" s="5">
        <v>2168.56</v>
      </c>
    </row>
    <row r="433" spans="1:14">
      <c r="A433" s="2">
        <v>46017.416666666657</v>
      </c>
      <c r="B433" s="3">
        <v>2025</v>
      </c>
      <c r="C433" s="4" t="s">
        <v>85</v>
      </c>
      <c r="D433" s="4">
        <v>12</v>
      </c>
      <c r="E433" s="4" t="s">
        <v>31</v>
      </c>
      <c r="F433" s="4" t="s">
        <v>43</v>
      </c>
      <c r="G433" s="4" t="s">
        <v>39</v>
      </c>
      <c r="H433" s="4" t="s">
        <v>82</v>
      </c>
      <c r="I433" s="4" t="s">
        <v>65</v>
      </c>
      <c r="J433" s="5">
        <v>13</v>
      </c>
      <c r="K433" s="5">
        <v>1113.69</v>
      </c>
      <c r="L433" s="5">
        <v>14477.97</v>
      </c>
      <c r="M433" s="5">
        <v>8976.34</v>
      </c>
      <c r="N433" s="5">
        <v>5501.63</v>
      </c>
    </row>
    <row r="434" spans="1:14">
      <c r="A434" s="2">
        <v>44568.416666666657</v>
      </c>
      <c r="B434" s="3">
        <v>2022</v>
      </c>
      <c r="C434" s="4" t="s">
        <v>59</v>
      </c>
      <c r="D434" s="4">
        <v>1</v>
      </c>
      <c r="E434" s="4" t="s">
        <v>1</v>
      </c>
      <c r="F434" s="4" t="s">
        <v>43</v>
      </c>
      <c r="G434" s="4" t="s">
        <v>36</v>
      </c>
      <c r="H434" s="4" t="s">
        <v>81</v>
      </c>
      <c r="I434" s="4" t="s">
        <v>68</v>
      </c>
      <c r="J434" s="5">
        <v>9</v>
      </c>
      <c r="K434" s="5">
        <v>2312.9499999999998</v>
      </c>
      <c r="L434" s="5">
        <v>20816.55</v>
      </c>
      <c r="M434" s="5">
        <v>12906.26</v>
      </c>
      <c r="N434" s="5">
        <v>7910.29</v>
      </c>
    </row>
    <row r="435" spans="1:14">
      <c r="A435" s="2">
        <v>44947.416666666657</v>
      </c>
      <c r="B435" s="3">
        <v>2023</v>
      </c>
      <c r="C435" s="4" t="s">
        <v>59</v>
      </c>
      <c r="D435" s="4">
        <v>1</v>
      </c>
      <c r="E435" s="4" t="s">
        <v>1</v>
      </c>
      <c r="F435" s="4" t="s">
        <v>40</v>
      </c>
      <c r="G435" s="4" t="s">
        <v>38</v>
      </c>
      <c r="H435" s="4" t="s">
        <v>83</v>
      </c>
      <c r="I435" s="4" t="s">
        <v>86</v>
      </c>
      <c r="J435" s="5">
        <v>9</v>
      </c>
      <c r="K435" s="5">
        <v>315.61</v>
      </c>
      <c r="L435" s="5">
        <v>2840.49</v>
      </c>
      <c r="M435" s="5">
        <v>1761.1</v>
      </c>
      <c r="N435" s="5">
        <v>1079.3900000000001</v>
      </c>
    </row>
    <row r="436" spans="1:14">
      <c r="A436" s="2">
        <v>45318.416666666657</v>
      </c>
      <c r="B436" s="3">
        <v>2024</v>
      </c>
      <c r="C436" s="4" t="s">
        <v>59</v>
      </c>
      <c r="D436" s="4">
        <v>1</v>
      </c>
      <c r="E436" s="4" t="s">
        <v>1</v>
      </c>
      <c r="F436" s="4" t="s">
        <v>41</v>
      </c>
      <c r="G436" s="4" t="s">
        <v>39</v>
      </c>
      <c r="H436" s="4" t="s">
        <v>82</v>
      </c>
      <c r="I436" s="4" t="s">
        <v>71</v>
      </c>
      <c r="J436" s="5">
        <v>50</v>
      </c>
      <c r="K436" s="5">
        <v>6297.15</v>
      </c>
      <c r="L436" s="5">
        <v>314857.5</v>
      </c>
      <c r="M436" s="5">
        <v>195211.65</v>
      </c>
      <c r="N436" s="5">
        <v>119645.85</v>
      </c>
    </row>
    <row r="437" spans="1:14">
      <c r="A437" s="2">
        <v>45681.416666666657</v>
      </c>
      <c r="B437" s="3">
        <v>2025</v>
      </c>
      <c r="C437" s="4" t="s">
        <v>59</v>
      </c>
      <c r="D437" s="4">
        <v>1</v>
      </c>
      <c r="E437" s="4" t="s">
        <v>1</v>
      </c>
      <c r="F437" s="4" t="s">
        <v>44</v>
      </c>
      <c r="G437" s="4" t="s">
        <v>35</v>
      </c>
      <c r="H437" s="4" t="s">
        <v>70</v>
      </c>
      <c r="I437" s="4" t="s">
        <v>65</v>
      </c>
      <c r="J437" s="5">
        <v>41</v>
      </c>
      <c r="K437" s="5">
        <v>105.8</v>
      </c>
      <c r="L437" s="5">
        <v>4337.8</v>
      </c>
      <c r="M437" s="5">
        <v>2689.44</v>
      </c>
      <c r="N437" s="5">
        <v>1648.36</v>
      </c>
    </row>
    <row r="438" spans="1:14">
      <c r="A438" s="2">
        <v>44603.416666666657</v>
      </c>
      <c r="B438" s="3">
        <v>2022</v>
      </c>
      <c r="C438" s="4" t="s">
        <v>59</v>
      </c>
      <c r="D438" s="4">
        <v>2</v>
      </c>
      <c r="E438" s="4" t="s">
        <v>2</v>
      </c>
      <c r="F438" s="4" t="s">
        <v>44</v>
      </c>
      <c r="G438" s="4" t="s">
        <v>36</v>
      </c>
      <c r="H438" s="4" t="s">
        <v>91</v>
      </c>
      <c r="I438" s="4" t="s">
        <v>71</v>
      </c>
      <c r="J438" s="5">
        <v>16</v>
      </c>
      <c r="K438" s="5">
        <v>2722.81</v>
      </c>
      <c r="L438" s="5">
        <v>43564.959999999999</v>
      </c>
      <c r="M438" s="5">
        <v>27010.28</v>
      </c>
      <c r="N438" s="5">
        <v>16554.68</v>
      </c>
    </row>
    <row r="439" spans="1:14">
      <c r="A439" s="2">
        <v>44970.416666666657</v>
      </c>
      <c r="B439" s="3">
        <v>2023</v>
      </c>
      <c r="C439" s="4" t="s">
        <v>59</v>
      </c>
      <c r="D439" s="4">
        <v>2</v>
      </c>
      <c r="E439" s="4" t="s">
        <v>2</v>
      </c>
      <c r="F439" s="4" t="s">
        <v>42</v>
      </c>
      <c r="G439" s="4" t="s">
        <v>37</v>
      </c>
      <c r="H439" s="4" t="s">
        <v>87</v>
      </c>
      <c r="I439" s="4" t="s">
        <v>68</v>
      </c>
      <c r="J439" s="5">
        <v>9</v>
      </c>
      <c r="K439" s="5">
        <v>270.3</v>
      </c>
      <c r="L439" s="5">
        <v>2432.6999999999998</v>
      </c>
      <c r="M439" s="5">
        <v>1508.27</v>
      </c>
      <c r="N439" s="5">
        <v>924.43</v>
      </c>
    </row>
    <row r="440" spans="1:14">
      <c r="A440" s="2">
        <v>45333.416666666657</v>
      </c>
      <c r="B440" s="3">
        <v>2024</v>
      </c>
      <c r="C440" s="4" t="s">
        <v>59</v>
      </c>
      <c r="D440" s="4">
        <v>2</v>
      </c>
      <c r="E440" s="4" t="s">
        <v>2</v>
      </c>
      <c r="F440" s="4" t="s">
        <v>42</v>
      </c>
      <c r="G440" s="4" t="s">
        <v>39</v>
      </c>
      <c r="H440" s="4" t="s">
        <v>79</v>
      </c>
      <c r="I440" s="4" t="s">
        <v>71</v>
      </c>
      <c r="J440" s="5">
        <v>5</v>
      </c>
      <c r="K440" s="5">
        <v>5810.68</v>
      </c>
      <c r="L440" s="5">
        <v>29053.4</v>
      </c>
      <c r="M440" s="5">
        <v>18013.11</v>
      </c>
      <c r="N440" s="5">
        <v>11040.29</v>
      </c>
    </row>
    <row r="441" spans="1:14">
      <c r="A441" s="2">
        <v>45697.416666666657</v>
      </c>
      <c r="B441" s="3">
        <v>2025</v>
      </c>
      <c r="C441" s="4" t="s">
        <v>59</v>
      </c>
      <c r="D441" s="4">
        <v>2</v>
      </c>
      <c r="E441" s="4" t="s">
        <v>2</v>
      </c>
      <c r="F441" s="4" t="s">
        <v>41</v>
      </c>
      <c r="G441" s="4" t="s">
        <v>38</v>
      </c>
      <c r="H441" s="4" t="s">
        <v>72</v>
      </c>
      <c r="I441" s="4" t="s">
        <v>65</v>
      </c>
      <c r="J441" s="5">
        <v>12</v>
      </c>
      <c r="K441" s="5">
        <v>65.150000000000006</v>
      </c>
      <c r="L441" s="5">
        <v>781.8</v>
      </c>
      <c r="M441" s="5">
        <v>484.72</v>
      </c>
      <c r="N441" s="5">
        <v>297.08</v>
      </c>
    </row>
    <row r="442" spans="1:14">
      <c r="A442" s="2">
        <v>44646.416666666657</v>
      </c>
      <c r="B442" s="3">
        <v>2022</v>
      </c>
      <c r="C442" s="4" t="s">
        <v>59</v>
      </c>
      <c r="D442" s="4">
        <v>3</v>
      </c>
      <c r="E442" s="4" t="s">
        <v>13</v>
      </c>
      <c r="F442" s="4" t="s">
        <v>40</v>
      </c>
      <c r="G442" s="4" t="s">
        <v>37</v>
      </c>
      <c r="H442" s="4" t="s">
        <v>93</v>
      </c>
      <c r="I442" s="4" t="s">
        <v>63</v>
      </c>
      <c r="J442" s="5">
        <v>6</v>
      </c>
      <c r="K442" s="5">
        <v>211</v>
      </c>
      <c r="L442" s="5">
        <v>1266</v>
      </c>
      <c r="M442" s="5">
        <v>784.92</v>
      </c>
      <c r="N442" s="5">
        <v>481.08</v>
      </c>
    </row>
    <row r="443" spans="1:14">
      <c r="A443" s="2">
        <v>45008.416666666657</v>
      </c>
      <c r="B443" s="3">
        <v>2023</v>
      </c>
      <c r="C443" s="4" t="s">
        <v>59</v>
      </c>
      <c r="D443" s="4">
        <v>3</v>
      </c>
      <c r="E443" s="4" t="s">
        <v>13</v>
      </c>
      <c r="F443" s="4" t="s">
        <v>40</v>
      </c>
      <c r="G443" s="4" t="s">
        <v>36</v>
      </c>
      <c r="H443" s="4" t="s">
        <v>91</v>
      </c>
      <c r="I443" s="4" t="s">
        <v>63</v>
      </c>
      <c r="J443" s="5">
        <v>3</v>
      </c>
      <c r="K443" s="5">
        <v>2325.1999999999998</v>
      </c>
      <c r="L443" s="5">
        <v>6975.6</v>
      </c>
      <c r="M443" s="5">
        <v>4324.87</v>
      </c>
      <c r="N443" s="5">
        <v>2650.73</v>
      </c>
    </row>
    <row r="444" spans="1:14">
      <c r="A444" s="2">
        <v>45354.416666666657</v>
      </c>
      <c r="B444" s="3">
        <v>2024</v>
      </c>
      <c r="C444" s="4" t="s">
        <v>59</v>
      </c>
      <c r="D444" s="4">
        <v>3</v>
      </c>
      <c r="E444" s="4" t="s">
        <v>13</v>
      </c>
      <c r="F444" s="4" t="s">
        <v>44</v>
      </c>
      <c r="G444" s="4" t="s">
        <v>37</v>
      </c>
      <c r="H444" s="4" t="s">
        <v>66</v>
      </c>
      <c r="I444" s="4" t="s">
        <v>71</v>
      </c>
      <c r="J444" s="5">
        <v>26</v>
      </c>
      <c r="K444" s="5">
        <v>406.57</v>
      </c>
      <c r="L444" s="5">
        <v>10570.82</v>
      </c>
      <c r="M444" s="5">
        <v>6553.91</v>
      </c>
      <c r="N444" s="5">
        <v>4016.91</v>
      </c>
    </row>
    <row r="445" spans="1:14">
      <c r="A445" s="2">
        <v>45722.416666666657</v>
      </c>
      <c r="B445" s="3">
        <v>2025</v>
      </c>
      <c r="C445" s="4" t="s">
        <v>59</v>
      </c>
      <c r="D445" s="4">
        <v>3</v>
      </c>
      <c r="E445" s="4" t="s">
        <v>13</v>
      </c>
      <c r="F445" s="4" t="s">
        <v>40</v>
      </c>
      <c r="G445" s="4" t="s">
        <v>37</v>
      </c>
      <c r="H445" s="4" t="s">
        <v>66</v>
      </c>
      <c r="I445" s="4" t="s">
        <v>68</v>
      </c>
      <c r="J445" s="5">
        <v>18</v>
      </c>
      <c r="K445" s="5">
        <v>68.040000000000006</v>
      </c>
      <c r="L445" s="5">
        <v>1224.72</v>
      </c>
      <c r="M445" s="5">
        <v>759.33</v>
      </c>
      <c r="N445" s="5">
        <v>465.39</v>
      </c>
    </row>
    <row r="446" spans="1:14">
      <c r="A446" s="2">
        <v>44655.416666666657</v>
      </c>
      <c r="B446" s="3">
        <v>2022</v>
      </c>
      <c r="C446" s="4" t="s">
        <v>76</v>
      </c>
      <c r="D446" s="4">
        <v>4</v>
      </c>
      <c r="E446" s="4" t="s">
        <v>17</v>
      </c>
      <c r="F446" s="4" t="s">
        <v>44</v>
      </c>
      <c r="G446" s="4" t="s">
        <v>39</v>
      </c>
      <c r="H446" s="4" t="s">
        <v>82</v>
      </c>
      <c r="I446" s="4" t="s">
        <v>65</v>
      </c>
      <c r="J446" s="5">
        <v>14</v>
      </c>
      <c r="K446" s="5">
        <v>1526.9</v>
      </c>
      <c r="L446" s="5">
        <v>21376.6</v>
      </c>
      <c r="M446" s="5">
        <v>13253.49</v>
      </c>
      <c r="N446" s="5">
        <v>8123.11</v>
      </c>
    </row>
    <row r="447" spans="1:14">
      <c r="A447" s="2">
        <v>45039.416666666657</v>
      </c>
      <c r="B447" s="3">
        <v>2023</v>
      </c>
      <c r="C447" s="4" t="s">
        <v>76</v>
      </c>
      <c r="D447" s="4">
        <v>4</v>
      </c>
      <c r="E447" s="4" t="s">
        <v>17</v>
      </c>
      <c r="F447" s="4" t="s">
        <v>43</v>
      </c>
      <c r="G447" s="4" t="s">
        <v>37</v>
      </c>
      <c r="H447" s="4" t="s">
        <v>87</v>
      </c>
      <c r="I447" s="4" t="s">
        <v>65</v>
      </c>
      <c r="J447" s="5">
        <v>16</v>
      </c>
      <c r="K447" s="5">
        <v>190.39</v>
      </c>
      <c r="L447" s="5">
        <v>3046.24</v>
      </c>
      <c r="M447" s="5">
        <v>1888.67</v>
      </c>
      <c r="N447" s="5">
        <v>1157.57</v>
      </c>
    </row>
    <row r="448" spans="1:14">
      <c r="A448" s="2">
        <v>45407.416666666657</v>
      </c>
      <c r="B448" s="3">
        <v>2024</v>
      </c>
      <c r="C448" s="4" t="s">
        <v>76</v>
      </c>
      <c r="D448" s="4">
        <v>4</v>
      </c>
      <c r="E448" s="4" t="s">
        <v>17</v>
      </c>
      <c r="F448" s="4" t="s">
        <v>40</v>
      </c>
      <c r="G448" s="4" t="s">
        <v>36</v>
      </c>
      <c r="H448" s="4" t="s">
        <v>67</v>
      </c>
      <c r="I448" s="4" t="s">
        <v>68</v>
      </c>
      <c r="J448" s="5">
        <v>38</v>
      </c>
      <c r="K448" s="5">
        <v>1401.84</v>
      </c>
      <c r="L448" s="5">
        <v>53269.919999999998</v>
      </c>
      <c r="M448" s="5">
        <v>33027.35</v>
      </c>
      <c r="N448" s="5">
        <v>20242.57</v>
      </c>
    </row>
    <row r="449" spans="1:14">
      <c r="A449" s="2">
        <v>45768.416666666657</v>
      </c>
      <c r="B449" s="3">
        <v>2025</v>
      </c>
      <c r="C449" s="4" t="s">
        <v>76</v>
      </c>
      <c r="D449" s="4">
        <v>4</v>
      </c>
      <c r="E449" s="4" t="s">
        <v>17</v>
      </c>
      <c r="F449" s="4" t="s">
        <v>40</v>
      </c>
      <c r="G449" s="4" t="s">
        <v>38</v>
      </c>
      <c r="H449" s="4" t="s">
        <v>77</v>
      </c>
      <c r="I449" s="4" t="s">
        <v>63</v>
      </c>
      <c r="J449" s="5">
        <v>16</v>
      </c>
      <c r="K449" s="5">
        <v>120.56</v>
      </c>
      <c r="L449" s="5">
        <v>1928.96</v>
      </c>
      <c r="M449" s="5">
        <v>1195.96</v>
      </c>
      <c r="N449" s="5">
        <v>733</v>
      </c>
    </row>
    <row r="450" spans="1:14">
      <c r="A450" s="2">
        <v>44690.416666666657</v>
      </c>
      <c r="B450" s="3">
        <v>2022</v>
      </c>
      <c r="C450" s="4" t="s">
        <v>76</v>
      </c>
      <c r="D450" s="4">
        <v>5</v>
      </c>
      <c r="E450" s="4" t="s">
        <v>18</v>
      </c>
      <c r="F450" s="4" t="s">
        <v>44</v>
      </c>
      <c r="G450" s="4" t="s">
        <v>36</v>
      </c>
      <c r="H450" s="4" t="s">
        <v>73</v>
      </c>
      <c r="I450" s="4" t="s">
        <v>71</v>
      </c>
      <c r="J450" s="5">
        <v>8</v>
      </c>
      <c r="K450" s="5">
        <v>1430.02</v>
      </c>
      <c r="L450" s="5">
        <v>11440.16</v>
      </c>
      <c r="M450" s="5">
        <v>7092.9</v>
      </c>
      <c r="N450" s="5">
        <v>4347.26</v>
      </c>
    </row>
    <row r="451" spans="1:14">
      <c r="A451" s="2">
        <v>45071.416666666657</v>
      </c>
      <c r="B451" s="3">
        <v>2023</v>
      </c>
      <c r="C451" s="4" t="s">
        <v>76</v>
      </c>
      <c r="D451" s="4">
        <v>5</v>
      </c>
      <c r="E451" s="4" t="s">
        <v>18</v>
      </c>
      <c r="F451" s="4" t="s">
        <v>44</v>
      </c>
      <c r="G451" s="4" t="s">
        <v>37</v>
      </c>
      <c r="H451" s="4" t="s">
        <v>93</v>
      </c>
      <c r="I451" s="4" t="s">
        <v>61</v>
      </c>
      <c r="J451" s="5">
        <v>8</v>
      </c>
      <c r="K451" s="5">
        <v>183.85</v>
      </c>
      <c r="L451" s="5">
        <v>1470.8</v>
      </c>
      <c r="M451" s="5">
        <v>911.9</v>
      </c>
      <c r="N451" s="5">
        <v>558.9</v>
      </c>
    </row>
    <row r="452" spans="1:14">
      <c r="A452" s="2">
        <v>45431.416666666657</v>
      </c>
      <c r="B452" s="3">
        <v>2024</v>
      </c>
      <c r="C452" s="4" t="s">
        <v>76</v>
      </c>
      <c r="D452" s="4">
        <v>5</v>
      </c>
      <c r="E452" s="4" t="s">
        <v>18</v>
      </c>
      <c r="F452" s="4" t="s">
        <v>41</v>
      </c>
      <c r="G452" s="4" t="s">
        <v>36</v>
      </c>
      <c r="H452" s="4" t="s">
        <v>73</v>
      </c>
      <c r="I452" s="4" t="s">
        <v>71</v>
      </c>
      <c r="J452" s="5">
        <v>16</v>
      </c>
      <c r="K452" s="5">
        <v>1074.82</v>
      </c>
      <c r="L452" s="5">
        <v>17197.12</v>
      </c>
      <c r="M452" s="5">
        <v>10662.21</v>
      </c>
      <c r="N452" s="5">
        <v>6534.91</v>
      </c>
    </row>
    <row r="453" spans="1:14">
      <c r="A453" s="2">
        <v>45789.416666666657</v>
      </c>
      <c r="B453" s="3">
        <v>2025</v>
      </c>
      <c r="C453" s="4" t="s">
        <v>76</v>
      </c>
      <c r="D453" s="4">
        <v>5</v>
      </c>
      <c r="E453" s="4" t="s">
        <v>18</v>
      </c>
      <c r="F453" s="4" t="s">
        <v>44</v>
      </c>
      <c r="G453" s="4" t="s">
        <v>37</v>
      </c>
      <c r="H453" s="4" t="s">
        <v>87</v>
      </c>
      <c r="I453" s="4" t="s">
        <v>63</v>
      </c>
      <c r="J453" s="5">
        <v>5</v>
      </c>
      <c r="K453" s="5">
        <v>505.29</v>
      </c>
      <c r="L453" s="5">
        <v>2526.4499999999998</v>
      </c>
      <c r="M453" s="5">
        <v>1566.4</v>
      </c>
      <c r="N453" s="5">
        <v>960.05</v>
      </c>
    </row>
    <row r="454" spans="1:14">
      <c r="A454" s="2">
        <v>44724.416666666657</v>
      </c>
      <c r="B454" s="3">
        <v>2022</v>
      </c>
      <c r="C454" s="4" t="s">
        <v>76</v>
      </c>
      <c r="D454" s="4">
        <v>6</v>
      </c>
      <c r="E454" s="4" t="s">
        <v>19</v>
      </c>
      <c r="F454" s="4" t="s">
        <v>41</v>
      </c>
      <c r="G454" s="4" t="s">
        <v>38</v>
      </c>
      <c r="H454" s="4" t="s">
        <v>83</v>
      </c>
      <c r="I454" s="4" t="s">
        <v>61</v>
      </c>
      <c r="J454" s="5">
        <v>6</v>
      </c>
      <c r="K454" s="5">
        <v>301.17</v>
      </c>
      <c r="L454" s="5">
        <v>1807.02</v>
      </c>
      <c r="M454" s="5">
        <v>1120.3499999999999</v>
      </c>
      <c r="N454" s="5">
        <v>686.67</v>
      </c>
    </row>
    <row r="455" spans="1:14">
      <c r="A455" s="2">
        <v>45092.416666666657</v>
      </c>
      <c r="B455" s="3">
        <v>2023</v>
      </c>
      <c r="C455" s="4" t="s">
        <v>76</v>
      </c>
      <c r="D455" s="4">
        <v>6</v>
      </c>
      <c r="E455" s="4" t="s">
        <v>19</v>
      </c>
      <c r="F455" s="4" t="s">
        <v>44</v>
      </c>
      <c r="G455" s="4" t="s">
        <v>39</v>
      </c>
      <c r="H455" s="4" t="s">
        <v>79</v>
      </c>
      <c r="I455" s="4" t="s">
        <v>63</v>
      </c>
      <c r="J455" s="5">
        <v>10</v>
      </c>
      <c r="K455" s="5">
        <v>5352.8</v>
      </c>
      <c r="L455" s="5">
        <v>53528</v>
      </c>
      <c r="M455" s="5">
        <v>33187.360000000001</v>
      </c>
      <c r="N455" s="5">
        <v>20340.64</v>
      </c>
    </row>
    <row r="456" spans="1:14">
      <c r="A456" s="2">
        <v>45448.416666666657</v>
      </c>
      <c r="B456" s="3">
        <v>2024</v>
      </c>
      <c r="C456" s="4" t="s">
        <v>76</v>
      </c>
      <c r="D456" s="4">
        <v>6</v>
      </c>
      <c r="E456" s="4" t="s">
        <v>19</v>
      </c>
      <c r="F456" s="4" t="s">
        <v>43</v>
      </c>
      <c r="G456" s="4" t="s">
        <v>35</v>
      </c>
      <c r="H456" s="4" t="s">
        <v>64</v>
      </c>
      <c r="I456" s="4" t="s">
        <v>63</v>
      </c>
      <c r="J456" s="5">
        <v>12</v>
      </c>
      <c r="K456" s="5">
        <v>79.95</v>
      </c>
      <c r="L456" s="5">
        <v>959.4</v>
      </c>
      <c r="M456" s="5">
        <v>594.83000000000004</v>
      </c>
      <c r="N456" s="5">
        <v>364.57</v>
      </c>
    </row>
    <row r="457" spans="1:14">
      <c r="A457" s="2">
        <v>45823.416666666657</v>
      </c>
      <c r="B457" s="3">
        <v>2025</v>
      </c>
      <c r="C457" s="4" t="s">
        <v>76</v>
      </c>
      <c r="D457" s="4">
        <v>6</v>
      </c>
      <c r="E457" s="4" t="s">
        <v>19</v>
      </c>
      <c r="F457" s="4" t="s">
        <v>40</v>
      </c>
      <c r="G457" s="4" t="s">
        <v>36</v>
      </c>
      <c r="H457" s="4" t="s">
        <v>75</v>
      </c>
      <c r="I457" s="4" t="s">
        <v>68</v>
      </c>
      <c r="J457" s="5">
        <v>29</v>
      </c>
      <c r="K457" s="5">
        <v>4089.95</v>
      </c>
      <c r="L457" s="5">
        <v>118608.55</v>
      </c>
      <c r="M457" s="5">
        <v>73537.3</v>
      </c>
      <c r="N457" s="5">
        <v>45071.25</v>
      </c>
    </row>
    <row r="458" spans="1:14">
      <c r="A458" s="2">
        <v>44746.416666666657</v>
      </c>
      <c r="B458" s="3">
        <v>2022</v>
      </c>
      <c r="C458" s="4" t="s">
        <v>80</v>
      </c>
      <c r="D458" s="4">
        <v>7</v>
      </c>
      <c r="E458" s="4" t="s">
        <v>21</v>
      </c>
      <c r="F458" s="4" t="s">
        <v>44</v>
      </c>
      <c r="G458" s="4" t="s">
        <v>36</v>
      </c>
      <c r="H458" s="4" t="s">
        <v>91</v>
      </c>
      <c r="I458" s="4" t="s">
        <v>65</v>
      </c>
      <c r="J458" s="5">
        <v>10</v>
      </c>
      <c r="K458" s="5">
        <v>1080.2</v>
      </c>
      <c r="L458" s="5">
        <v>10802</v>
      </c>
      <c r="M458" s="5">
        <v>6697.24</v>
      </c>
      <c r="N458" s="5">
        <v>4104.76</v>
      </c>
    </row>
    <row r="459" spans="1:14">
      <c r="A459" s="2">
        <v>45125.416666666657</v>
      </c>
      <c r="B459" s="3">
        <v>2023</v>
      </c>
      <c r="C459" s="4" t="s">
        <v>80</v>
      </c>
      <c r="D459" s="4">
        <v>7</v>
      </c>
      <c r="E459" s="4" t="s">
        <v>21</v>
      </c>
      <c r="F459" s="4" t="s">
        <v>41</v>
      </c>
      <c r="G459" s="4" t="s">
        <v>39</v>
      </c>
      <c r="H459" s="4" t="s">
        <v>79</v>
      </c>
      <c r="I459" s="4" t="s">
        <v>68</v>
      </c>
      <c r="J459" s="5">
        <v>20</v>
      </c>
      <c r="K459" s="5">
        <v>3623.56</v>
      </c>
      <c r="L459" s="5">
        <v>72471.199999999997</v>
      </c>
      <c r="M459" s="5">
        <v>44932.14</v>
      </c>
      <c r="N459" s="5">
        <v>27539.06</v>
      </c>
    </row>
    <row r="460" spans="1:14">
      <c r="A460" s="2">
        <v>45474.416666666657</v>
      </c>
      <c r="B460" s="3">
        <v>2024</v>
      </c>
      <c r="C460" s="4" t="s">
        <v>80</v>
      </c>
      <c r="D460" s="4">
        <v>7</v>
      </c>
      <c r="E460" s="4" t="s">
        <v>21</v>
      </c>
      <c r="F460" s="4" t="s">
        <v>40</v>
      </c>
      <c r="G460" s="4" t="s">
        <v>35</v>
      </c>
      <c r="H460" s="4" t="s">
        <v>70</v>
      </c>
      <c r="I460" s="4" t="s">
        <v>63</v>
      </c>
      <c r="J460" s="5">
        <v>4</v>
      </c>
      <c r="K460" s="5">
        <v>30.26</v>
      </c>
      <c r="L460" s="5">
        <v>121.04</v>
      </c>
      <c r="M460" s="5">
        <v>75.040000000000006</v>
      </c>
      <c r="N460" s="5">
        <v>46</v>
      </c>
    </row>
    <row r="461" spans="1:14">
      <c r="A461" s="2">
        <v>45845.416666666657</v>
      </c>
      <c r="B461" s="3">
        <v>2025</v>
      </c>
      <c r="C461" s="4" t="s">
        <v>80</v>
      </c>
      <c r="D461" s="4">
        <v>7</v>
      </c>
      <c r="E461" s="4" t="s">
        <v>21</v>
      </c>
      <c r="F461" s="4" t="s">
        <v>40</v>
      </c>
      <c r="G461" s="4" t="s">
        <v>37</v>
      </c>
      <c r="H461" s="4" t="s">
        <v>62</v>
      </c>
      <c r="I461" s="4" t="s">
        <v>86</v>
      </c>
      <c r="J461" s="5">
        <v>6</v>
      </c>
      <c r="K461" s="5">
        <v>91.25</v>
      </c>
      <c r="L461" s="5">
        <v>547.5</v>
      </c>
      <c r="M461" s="5">
        <v>339.45</v>
      </c>
      <c r="N461" s="5">
        <v>208.05</v>
      </c>
    </row>
    <row r="462" spans="1:14">
      <c r="A462" s="2">
        <v>44778.416666666657</v>
      </c>
      <c r="B462" s="3">
        <v>2022</v>
      </c>
      <c r="C462" s="4" t="s">
        <v>80</v>
      </c>
      <c r="D462" s="4">
        <v>8</v>
      </c>
      <c r="E462" s="4" t="s">
        <v>22</v>
      </c>
      <c r="F462" s="4" t="s">
        <v>40</v>
      </c>
      <c r="G462" s="4" t="s">
        <v>39</v>
      </c>
      <c r="H462" s="4" t="s">
        <v>60</v>
      </c>
      <c r="I462" s="4" t="s">
        <v>86</v>
      </c>
      <c r="J462" s="5">
        <v>5</v>
      </c>
      <c r="K462" s="5">
        <v>1881.97</v>
      </c>
      <c r="L462" s="5">
        <v>9409.85</v>
      </c>
      <c r="M462" s="5">
        <v>5834.11</v>
      </c>
      <c r="N462" s="5">
        <v>3575.74</v>
      </c>
    </row>
    <row r="463" spans="1:14">
      <c r="A463" s="2">
        <v>45145.416666666657</v>
      </c>
      <c r="B463" s="3">
        <v>2023</v>
      </c>
      <c r="C463" s="4" t="s">
        <v>80</v>
      </c>
      <c r="D463" s="4">
        <v>8</v>
      </c>
      <c r="E463" s="4" t="s">
        <v>22</v>
      </c>
      <c r="F463" s="4" t="s">
        <v>40</v>
      </c>
      <c r="G463" s="4" t="s">
        <v>39</v>
      </c>
      <c r="H463" s="4" t="s">
        <v>89</v>
      </c>
      <c r="I463" s="4" t="s">
        <v>63</v>
      </c>
      <c r="J463" s="5">
        <v>22</v>
      </c>
      <c r="K463" s="5">
        <v>2719.58</v>
      </c>
      <c r="L463" s="5">
        <v>59830.76</v>
      </c>
      <c r="M463" s="5">
        <v>37095.07</v>
      </c>
      <c r="N463" s="5">
        <v>22735.69</v>
      </c>
    </row>
    <row r="464" spans="1:14">
      <c r="A464" s="2">
        <v>45505.416666666657</v>
      </c>
      <c r="B464" s="3">
        <v>2024</v>
      </c>
      <c r="C464" s="4" t="s">
        <v>80</v>
      </c>
      <c r="D464" s="4">
        <v>8</v>
      </c>
      <c r="E464" s="4" t="s">
        <v>22</v>
      </c>
      <c r="F464" s="4" t="s">
        <v>42</v>
      </c>
      <c r="G464" s="4" t="s">
        <v>37</v>
      </c>
      <c r="H464" s="4" t="s">
        <v>66</v>
      </c>
      <c r="I464" s="4" t="s">
        <v>63</v>
      </c>
      <c r="J464" s="5">
        <v>20</v>
      </c>
      <c r="K464" s="5">
        <v>496.39</v>
      </c>
      <c r="L464" s="5">
        <v>9927.7999999999993</v>
      </c>
      <c r="M464" s="5">
        <v>6155.24</v>
      </c>
      <c r="N464" s="5">
        <v>3772.56</v>
      </c>
    </row>
    <row r="465" spans="1:14">
      <c r="A465" s="2">
        <v>45897.416666666657</v>
      </c>
      <c r="B465" s="3">
        <v>2025</v>
      </c>
      <c r="C465" s="4" t="s">
        <v>80</v>
      </c>
      <c r="D465" s="4">
        <v>8</v>
      </c>
      <c r="E465" s="4" t="s">
        <v>22</v>
      </c>
      <c r="F465" s="4" t="s">
        <v>42</v>
      </c>
      <c r="G465" s="4" t="s">
        <v>35</v>
      </c>
      <c r="H465" s="4" t="s">
        <v>64</v>
      </c>
      <c r="I465" s="4" t="s">
        <v>61</v>
      </c>
      <c r="J465" s="5">
        <v>24</v>
      </c>
      <c r="K465" s="5">
        <v>23.19</v>
      </c>
      <c r="L465" s="5">
        <v>556.55999999999995</v>
      </c>
      <c r="M465" s="5">
        <v>345.07</v>
      </c>
      <c r="N465" s="5">
        <v>211.49</v>
      </c>
    </row>
    <row r="466" spans="1:14">
      <c r="A466" s="2">
        <v>44810.416666666657</v>
      </c>
      <c r="B466" s="3">
        <v>2022</v>
      </c>
      <c r="C466" s="4" t="s">
        <v>80</v>
      </c>
      <c r="D466" s="4">
        <v>9</v>
      </c>
      <c r="E466" s="4" t="s">
        <v>23</v>
      </c>
      <c r="F466" s="4" t="s">
        <v>43</v>
      </c>
      <c r="G466" s="4" t="s">
        <v>39</v>
      </c>
      <c r="H466" s="4" t="s">
        <v>82</v>
      </c>
      <c r="I466" s="4" t="s">
        <v>61</v>
      </c>
      <c r="J466" s="5">
        <v>10</v>
      </c>
      <c r="K466" s="5">
        <v>5856.55</v>
      </c>
      <c r="L466" s="5">
        <v>58565.5</v>
      </c>
      <c r="M466" s="5">
        <v>36310.61</v>
      </c>
      <c r="N466" s="5">
        <v>22254.89</v>
      </c>
    </row>
    <row r="467" spans="1:14">
      <c r="A467" s="2">
        <v>45193.416666666657</v>
      </c>
      <c r="B467" s="3">
        <v>2023</v>
      </c>
      <c r="C467" s="4" t="s">
        <v>80</v>
      </c>
      <c r="D467" s="4">
        <v>9</v>
      </c>
      <c r="E467" s="4" t="s">
        <v>23</v>
      </c>
      <c r="F467" s="4" t="s">
        <v>42</v>
      </c>
      <c r="G467" s="4" t="s">
        <v>37</v>
      </c>
      <c r="H467" s="4" t="s">
        <v>93</v>
      </c>
      <c r="I467" s="4" t="s">
        <v>65</v>
      </c>
      <c r="J467" s="5">
        <v>18</v>
      </c>
      <c r="K467" s="5">
        <v>221.33</v>
      </c>
      <c r="L467" s="5">
        <v>3983.94</v>
      </c>
      <c r="M467" s="5">
        <v>2470.04</v>
      </c>
      <c r="N467" s="5">
        <v>1513.9</v>
      </c>
    </row>
    <row r="468" spans="1:14">
      <c r="A468" s="2">
        <v>45551.416666666657</v>
      </c>
      <c r="B468" s="3">
        <v>2024</v>
      </c>
      <c r="C468" s="4" t="s">
        <v>80</v>
      </c>
      <c r="D468" s="4">
        <v>9</v>
      </c>
      <c r="E468" s="4" t="s">
        <v>23</v>
      </c>
      <c r="F468" s="4" t="s">
        <v>43</v>
      </c>
      <c r="G468" s="4" t="s">
        <v>35</v>
      </c>
      <c r="H468" s="4" t="s">
        <v>90</v>
      </c>
      <c r="I468" s="4" t="s">
        <v>68</v>
      </c>
      <c r="J468" s="5">
        <v>28</v>
      </c>
      <c r="K468" s="5">
        <v>88.58</v>
      </c>
      <c r="L468" s="5">
        <v>2480.2399999999998</v>
      </c>
      <c r="M468" s="5">
        <v>1537.75</v>
      </c>
      <c r="N468" s="5">
        <v>942.49</v>
      </c>
    </row>
    <row r="469" spans="1:14">
      <c r="A469" s="2">
        <v>45906.416666666657</v>
      </c>
      <c r="B469" s="3">
        <v>2025</v>
      </c>
      <c r="C469" s="4" t="s">
        <v>80</v>
      </c>
      <c r="D469" s="4">
        <v>9</v>
      </c>
      <c r="E469" s="4" t="s">
        <v>23</v>
      </c>
      <c r="F469" s="4" t="s">
        <v>40</v>
      </c>
      <c r="G469" s="4" t="s">
        <v>37</v>
      </c>
      <c r="H469" s="4" t="s">
        <v>66</v>
      </c>
      <c r="I469" s="4" t="s">
        <v>65</v>
      </c>
      <c r="J469" s="5">
        <v>7</v>
      </c>
      <c r="K469" s="5">
        <v>233</v>
      </c>
      <c r="L469" s="5">
        <v>1631</v>
      </c>
      <c r="M469" s="5">
        <v>1011.22</v>
      </c>
      <c r="N469" s="5">
        <v>619.78</v>
      </c>
    </row>
    <row r="470" spans="1:14">
      <c r="A470" s="2">
        <v>44835.416666666657</v>
      </c>
      <c r="B470" s="3">
        <v>2022</v>
      </c>
      <c r="C470" s="4" t="s">
        <v>85</v>
      </c>
      <c r="D470" s="4">
        <v>10</v>
      </c>
      <c r="E470" s="4" t="s">
        <v>29</v>
      </c>
      <c r="F470" s="4" t="s">
        <v>44</v>
      </c>
      <c r="G470" s="4" t="s">
        <v>35</v>
      </c>
      <c r="H470" s="4" t="s">
        <v>90</v>
      </c>
      <c r="I470" s="4" t="s">
        <v>86</v>
      </c>
      <c r="J470" s="5">
        <v>6</v>
      </c>
      <c r="K470" s="5">
        <v>24.82</v>
      </c>
      <c r="L470" s="5">
        <v>148.91999999999999</v>
      </c>
      <c r="M470" s="5">
        <v>92.33</v>
      </c>
      <c r="N470" s="5">
        <v>56.59</v>
      </c>
    </row>
    <row r="471" spans="1:14">
      <c r="A471" s="2">
        <v>45203.416666666657</v>
      </c>
      <c r="B471" s="3">
        <v>2023</v>
      </c>
      <c r="C471" s="4" t="s">
        <v>85</v>
      </c>
      <c r="D471" s="4">
        <v>10</v>
      </c>
      <c r="E471" s="4" t="s">
        <v>29</v>
      </c>
      <c r="F471" s="4" t="s">
        <v>40</v>
      </c>
      <c r="G471" s="4" t="s">
        <v>38</v>
      </c>
      <c r="H471" s="4" t="s">
        <v>74</v>
      </c>
      <c r="I471" s="4" t="s">
        <v>63</v>
      </c>
      <c r="J471" s="5">
        <v>18</v>
      </c>
      <c r="K471" s="5">
        <v>415.38</v>
      </c>
      <c r="L471" s="5">
        <v>7476.84</v>
      </c>
      <c r="M471" s="5">
        <v>4635.6400000000003</v>
      </c>
      <c r="N471" s="5">
        <v>2841.2</v>
      </c>
    </row>
    <row r="472" spans="1:14">
      <c r="A472" s="2">
        <v>45568.416666666657</v>
      </c>
      <c r="B472" s="3">
        <v>2024</v>
      </c>
      <c r="C472" s="4" t="s">
        <v>85</v>
      </c>
      <c r="D472" s="4">
        <v>10</v>
      </c>
      <c r="E472" s="4" t="s">
        <v>29</v>
      </c>
      <c r="F472" s="4" t="s">
        <v>40</v>
      </c>
      <c r="G472" s="4" t="s">
        <v>38</v>
      </c>
      <c r="H472" s="4" t="s">
        <v>74</v>
      </c>
      <c r="I472" s="4" t="s">
        <v>71</v>
      </c>
      <c r="J472" s="5">
        <v>12</v>
      </c>
      <c r="K472" s="5">
        <v>371.23</v>
      </c>
      <c r="L472" s="5">
        <v>4454.76</v>
      </c>
      <c r="M472" s="5">
        <v>2761.95</v>
      </c>
      <c r="N472" s="5">
        <v>1692.81</v>
      </c>
    </row>
    <row r="473" spans="1:14">
      <c r="A473" s="2">
        <v>45950.416666666657</v>
      </c>
      <c r="B473" s="3">
        <v>2025</v>
      </c>
      <c r="C473" s="4" t="s">
        <v>85</v>
      </c>
      <c r="D473" s="4">
        <v>10</v>
      </c>
      <c r="E473" s="4" t="s">
        <v>29</v>
      </c>
      <c r="F473" s="4" t="s">
        <v>44</v>
      </c>
      <c r="G473" s="4" t="s">
        <v>35</v>
      </c>
      <c r="H473" s="4" t="s">
        <v>92</v>
      </c>
      <c r="I473" s="4" t="s">
        <v>61</v>
      </c>
      <c r="J473" s="5">
        <v>13</v>
      </c>
      <c r="K473" s="5">
        <v>46.67</v>
      </c>
      <c r="L473" s="5">
        <v>606.71</v>
      </c>
      <c r="M473" s="5">
        <v>376.16</v>
      </c>
      <c r="N473" s="5">
        <v>230.55</v>
      </c>
    </row>
    <row r="474" spans="1:14">
      <c r="A474" s="2">
        <v>44887.416666666657</v>
      </c>
      <c r="B474" s="3">
        <v>2022</v>
      </c>
      <c r="C474" s="4" t="s">
        <v>85</v>
      </c>
      <c r="D474" s="4">
        <v>11</v>
      </c>
      <c r="E474" s="4" t="s">
        <v>30</v>
      </c>
      <c r="F474" s="4" t="s">
        <v>41</v>
      </c>
      <c r="G474" s="4" t="s">
        <v>39</v>
      </c>
      <c r="H474" s="4" t="s">
        <v>78</v>
      </c>
      <c r="I474" s="4" t="s">
        <v>68</v>
      </c>
      <c r="J474" s="5">
        <v>17</v>
      </c>
      <c r="K474" s="5">
        <v>3282.65</v>
      </c>
      <c r="L474" s="5">
        <v>55805.05</v>
      </c>
      <c r="M474" s="5">
        <v>34599.129999999997</v>
      </c>
      <c r="N474" s="5">
        <v>21205.919999999998</v>
      </c>
    </row>
    <row r="475" spans="1:14">
      <c r="A475" s="2">
        <v>45254.416666666657</v>
      </c>
      <c r="B475" s="3">
        <v>2023</v>
      </c>
      <c r="C475" s="4" t="s">
        <v>85</v>
      </c>
      <c r="D475" s="4">
        <v>11</v>
      </c>
      <c r="E475" s="4" t="s">
        <v>30</v>
      </c>
      <c r="F475" s="4" t="s">
        <v>44</v>
      </c>
      <c r="G475" s="4" t="s">
        <v>37</v>
      </c>
      <c r="H475" s="4" t="s">
        <v>66</v>
      </c>
      <c r="I475" s="4" t="s">
        <v>68</v>
      </c>
      <c r="J475" s="5">
        <v>24</v>
      </c>
      <c r="K475" s="5">
        <v>267.68</v>
      </c>
      <c r="L475" s="5">
        <v>6424.32</v>
      </c>
      <c r="M475" s="5">
        <v>3983.08</v>
      </c>
      <c r="N475" s="5">
        <v>2441.2399999999998</v>
      </c>
    </row>
    <row r="476" spans="1:14">
      <c r="A476" s="2">
        <v>45607.416666666657</v>
      </c>
      <c r="B476" s="3">
        <v>2024</v>
      </c>
      <c r="C476" s="4" t="s">
        <v>85</v>
      </c>
      <c r="D476" s="4">
        <v>11</v>
      </c>
      <c r="E476" s="4" t="s">
        <v>30</v>
      </c>
      <c r="F476" s="4" t="s">
        <v>42</v>
      </c>
      <c r="G476" s="4" t="s">
        <v>38</v>
      </c>
      <c r="H476" s="4" t="s">
        <v>74</v>
      </c>
      <c r="I476" s="4" t="s">
        <v>61</v>
      </c>
      <c r="J476" s="5">
        <v>17</v>
      </c>
      <c r="K476" s="5">
        <v>319.5</v>
      </c>
      <c r="L476" s="5">
        <v>5431.5</v>
      </c>
      <c r="M476" s="5">
        <v>3367.53</v>
      </c>
      <c r="N476" s="5">
        <v>2063.9699999999998</v>
      </c>
    </row>
    <row r="477" spans="1:14">
      <c r="A477" s="2">
        <v>45982.416666666657</v>
      </c>
      <c r="B477" s="3">
        <v>2025</v>
      </c>
      <c r="C477" s="4" t="s">
        <v>85</v>
      </c>
      <c r="D477" s="4">
        <v>11</v>
      </c>
      <c r="E477" s="4" t="s">
        <v>30</v>
      </c>
      <c r="F477" s="4" t="s">
        <v>42</v>
      </c>
      <c r="G477" s="4" t="s">
        <v>39</v>
      </c>
      <c r="H477" s="4" t="s">
        <v>60</v>
      </c>
      <c r="I477" s="4" t="s">
        <v>71</v>
      </c>
      <c r="J477" s="5">
        <v>24</v>
      </c>
      <c r="K477" s="5">
        <v>5132.42</v>
      </c>
      <c r="L477" s="5">
        <v>123178.08</v>
      </c>
      <c r="M477" s="5">
        <v>76370.41</v>
      </c>
      <c r="N477" s="5">
        <v>46807.67</v>
      </c>
    </row>
    <row r="478" spans="1:14">
      <c r="A478" s="2">
        <v>44909.416666666657</v>
      </c>
      <c r="B478" s="3">
        <v>2022</v>
      </c>
      <c r="C478" s="4" t="s">
        <v>85</v>
      </c>
      <c r="D478" s="4">
        <v>12</v>
      </c>
      <c r="E478" s="4" t="s">
        <v>31</v>
      </c>
      <c r="F478" s="4" t="s">
        <v>40</v>
      </c>
      <c r="G478" s="4" t="s">
        <v>38</v>
      </c>
      <c r="H478" s="4" t="s">
        <v>83</v>
      </c>
      <c r="I478" s="4" t="s">
        <v>86</v>
      </c>
      <c r="J478" s="5">
        <v>9</v>
      </c>
      <c r="K478" s="5">
        <v>250.84</v>
      </c>
      <c r="L478" s="5">
        <v>2257.56</v>
      </c>
      <c r="M478" s="5">
        <v>1399.69</v>
      </c>
      <c r="N478" s="5">
        <v>857.87</v>
      </c>
    </row>
    <row r="479" spans="1:14">
      <c r="A479" s="2">
        <v>45274.416666666657</v>
      </c>
      <c r="B479" s="3">
        <v>2023</v>
      </c>
      <c r="C479" s="4" t="s">
        <v>85</v>
      </c>
      <c r="D479" s="4">
        <v>12</v>
      </c>
      <c r="E479" s="4" t="s">
        <v>31</v>
      </c>
      <c r="F479" s="4" t="s">
        <v>41</v>
      </c>
      <c r="G479" s="4" t="s">
        <v>36</v>
      </c>
      <c r="H479" s="4" t="s">
        <v>67</v>
      </c>
      <c r="I479" s="4" t="s">
        <v>61</v>
      </c>
      <c r="J479" s="5">
        <v>24</v>
      </c>
      <c r="K479" s="5">
        <v>1264.23</v>
      </c>
      <c r="L479" s="5">
        <v>30341.52</v>
      </c>
      <c r="M479" s="5">
        <v>18811.740000000002</v>
      </c>
      <c r="N479" s="5">
        <v>11529.78</v>
      </c>
    </row>
    <row r="480" spans="1:14">
      <c r="A480" s="2">
        <v>45637.416666666657</v>
      </c>
      <c r="B480" s="3">
        <v>2024</v>
      </c>
      <c r="C480" s="4" t="s">
        <v>85</v>
      </c>
      <c r="D480" s="4">
        <v>12</v>
      </c>
      <c r="E480" s="4" t="s">
        <v>31</v>
      </c>
      <c r="F480" s="4" t="s">
        <v>43</v>
      </c>
      <c r="G480" s="4" t="s">
        <v>35</v>
      </c>
      <c r="H480" s="4" t="s">
        <v>64</v>
      </c>
      <c r="I480" s="4" t="s">
        <v>71</v>
      </c>
      <c r="J480" s="5">
        <v>14</v>
      </c>
      <c r="K480" s="5">
        <v>13.04</v>
      </c>
      <c r="L480" s="5">
        <v>182.56</v>
      </c>
      <c r="M480" s="5">
        <v>113.19</v>
      </c>
      <c r="N480" s="5">
        <v>69.37</v>
      </c>
    </row>
    <row r="481" spans="1:14">
      <c r="A481" s="2">
        <v>45995.416666666657</v>
      </c>
      <c r="B481" s="3">
        <v>2025</v>
      </c>
      <c r="C481" s="4" t="s">
        <v>85</v>
      </c>
      <c r="D481" s="4">
        <v>12</v>
      </c>
      <c r="E481" s="4" t="s">
        <v>31</v>
      </c>
      <c r="F481" s="4" t="s">
        <v>43</v>
      </c>
      <c r="G481" s="4" t="s">
        <v>37</v>
      </c>
      <c r="H481" s="4" t="s">
        <v>93</v>
      </c>
      <c r="I481" s="4" t="s">
        <v>71</v>
      </c>
      <c r="J481" s="5">
        <v>26</v>
      </c>
      <c r="K481" s="5">
        <v>184.85</v>
      </c>
      <c r="L481" s="5">
        <v>4806.1000000000004</v>
      </c>
      <c r="M481" s="5">
        <v>2979.78</v>
      </c>
      <c r="N481" s="5">
        <v>1826.32</v>
      </c>
    </row>
    <row r="482" spans="1:14">
      <c r="A482" s="2">
        <v>44574.416666666657</v>
      </c>
      <c r="B482" s="3">
        <v>2022</v>
      </c>
      <c r="C482" s="4" t="s">
        <v>59</v>
      </c>
      <c r="D482" s="4">
        <v>1</v>
      </c>
      <c r="E482" s="4" t="s">
        <v>1</v>
      </c>
      <c r="F482" s="4" t="s">
        <v>40</v>
      </c>
      <c r="G482" s="4" t="s">
        <v>39</v>
      </c>
      <c r="H482" s="4" t="s">
        <v>82</v>
      </c>
      <c r="I482" s="4" t="s">
        <v>86</v>
      </c>
      <c r="J482" s="5">
        <v>9</v>
      </c>
      <c r="K482" s="5">
        <v>1206.56</v>
      </c>
      <c r="L482" s="5">
        <v>10859.04</v>
      </c>
      <c r="M482" s="5">
        <v>6732.6</v>
      </c>
      <c r="N482" s="5">
        <v>4126.4399999999996</v>
      </c>
    </row>
    <row r="483" spans="1:14">
      <c r="A483" s="2">
        <v>44931.416666666657</v>
      </c>
      <c r="B483" s="3">
        <v>2023</v>
      </c>
      <c r="C483" s="4" t="s">
        <v>59</v>
      </c>
      <c r="D483" s="4">
        <v>1</v>
      </c>
      <c r="E483" s="4" t="s">
        <v>1</v>
      </c>
      <c r="F483" s="4" t="s">
        <v>42</v>
      </c>
      <c r="G483" s="4" t="s">
        <v>36</v>
      </c>
      <c r="H483" s="4" t="s">
        <v>91</v>
      </c>
      <c r="I483" s="4" t="s">
        <v>65</v>
      </c>
      <c r="J483" s="5">
        <v>21</v>
      </c>
      <c r="K483" s="5">
        <v>3679.94</v>
      </c>
      <c r="L483" s="5">
        <v>77278.740000000005</v>
      </c>
      <c r="M483" s="5">
        <v>47912.82</v>
      </c>
      <c r="N483" s="5">
        <v>29365.919999999998</v>
      </c>
    </row>
    <row r="484" spans="1:14">
      <c r="A484" s="2">
        <v>45302.416666666657</v>
      </c>
      <c r="B484" s="3">
        <v>2024</v>
      </c>
      <c r="C484" s="4" t="s">
        <v>59</v>
      </c>
      <c r="D484" s="4">
        <v>1</v>
      </c>
      <c r="E484" s="4" t="s">
        <v>1</v>
      </c>
      <c r="F484" s="4" t="s">
        <v>43</v>
      </c>
      <c r="G484" s="4" t="s">
        <v>36</v>
      </c>
      <c r="H484" s="4" t="s">
        <v>67</v>
      </c>
      <c r="I484" s="4" t="s">
        <v>68</v>
      </c>
      <c r="J484" s="5">
        <v>26</v>
      </c>
      <c r="K484" s="5">
        <v>4601.6000000000004</v>
      </c>
      <c r="L484" s="5">
        <v>119641.60000000001</v>
      </c>
      <c r="M484" s="5">
        <v>74177.789999999994</v>
      </c>
      <c r="N484" s="5">
        <v>45463.81</v>
      </c>
    </row>
    <row r="485" spans="1:14">
      <c r="A485" s="2">
        <v>45659.416666666657</v>
      </c>
      <c r="B485" s="3">
        <v>2025</v>
      </c>
      <c r="C485" s="4" t="s">
        <v>59</v>
      </c>
      <c r="D485" s="4">
        <v>1</v>
      </c>
      <c r="E485" s="4" t="s">
        <v>1</v>
      </c>
      <c r="F485" s="4" t="s">
        <v>43</v>
      </c>
      <c r="G485" s="4" t="s">
        <v>35</v>
      </c>
      <c r="H485" s="4" t="s">
        <v>90</v>
      </c>
      <c r="I485" s="4" t="s">
        <v>65</v>
      </c>
      <c r="J485" s="5">
        <v>10</v>
      </c>
      <c r="K485" s="5">
        <v>113.8</v>
      </c>
      <c r="L485" s="5">
        <v>1138</v>
      </c>
      <c r="M485" s="5">
        <v>705.56</v>
      </c>
      <c r="N485" s="5">
        <v>432.44</v>
      </c>
    </row>
    <row r="486" spans="1:14">
      <c r="A486" s="2">
        <v>44595.416666666657</v>
      </c>
      <c r="B486" s="3">
        <v>2022</v>
      </c>
      <c r="C486" s="4" t="s">
        <v>59</v>
      </c>
      <c r="D486" s="4">
        <v>2</v>
      </c>
      <c r="E486" s="4" t="s">
        <v>2</v>
      </c>
      <c r="F486" s="4" t="s">
        <v>42</v>
      </c>
      <c r="G486" s="4" t="s">
        <v>39</v>
      </c>
      <c r="H486" s="4" t="s">
        <v>60</v>
      </c>
      <c r="I486" s="4" t="s">
        <v>61</v>
      </c>
      <c r="J486" s="5">
        <v>15</v>
      </c>
      <c r="K486" s="5">
        <v>3127.37</v>
      </c>
      <c r="L486" s="5">
        <v>46910.55</v>
      </c>
      <c r="M486" s="5">
        <v>29084.54</v>
      </c>
      <c r="N486" s="5">
        <v>17826.009999999998</v>
      </c>
    </row>
    <row r="487" spans="1:14">
      <c r="A487" s="2">
        <v>44981.416666666657</v>
      </c>
      <c r="B487" s="3">
        <v>2023</v>
      </c>
      <c r="C487" s="4" t="s">
        <v>59</v>
      </c>
      <c r="D487" s="4">
        <v>2</v>
      </c>
      <c r="E487" s="4" t="s">
        <v>2</v>
      </c>
      <c r="F487" s="4" t="s">
        <v>40</v>
      </c>
      <c r="G487" s="4" t="s">
        <v>35</v>
      </c>
      <c r="H487" s="4" t="s">
        <v>69</v>
      </c>
      <c r="I487" s="4" t="s">
        <v>71</v>
      </c>
      <c r="J487" s="5">
        <v>20</v>
      </c>
      <c r="K487" s="5">
        <v>129.62</v>
      </c>
      <c r="L487" s="5">
        <v>2592.4</v>
      </c>
      <c r="M487" s="5">
        <v>1607.29</v>
      </c>
      <c r="N487" s="5">
        <v>985.11</v>
      </c>
    </row>
    <row r="488" spans="1:14">
      <c r="A488" s="2">
        <v>45332.416666666657</v>
      </c>
      <c r="B488" s="3">
        <v>2024</v>
      </c>
      <c r="C488" s="4" t="s">
        <v>59</v>
      </c>
      <c r="D488" s="4">
        <v>2</v>
      </c>
      <c r="E488" s="4" t="s">
        <v>2</v>
      </c>
      <c r="F488" s="4" t="s">
        <v>40</v>
      </c>
      <c r="G488" s="4" t="s">
        <v>37</v>
      </c>
      <c r="H488" s="4" t="s">
        <v>84</v>
      </c>
      <c r="I488" s="4" t="s">
        <v>71</v>
      </c>
      <c r="J488" s="5">
        <v>5</v>
      </c>
      <c r="K488" s="5">
        <v>340.73</v>
      </c>
      <c r="L488" s="5">
        <v>1703.65</v>
      </c>
      <c r="M488" s="5">
        <v>1056.26</v>
      </c>
      <c r="N488" s="5">
        <v>647.39</v>
      </c>
    </row>
    <row r="489" spans="1:14">
      <c r="A489" s="2">
        <v>45706.416666666657</v>
      </c>
      <c r="B489" s="3">
        <v>2025</v>
      </c>
      <c r="C489" s="4" t="s">
        <v>59</v>
      </c>
      <c r="D489" s="4">
        <v>2</v>
      </c>
      <c r="E489" s="4" t="s">
        <v>2</v>
      </c>
      <c r="F489" s="4" t="s">
        <v>42</v>
      </c>
      <c r="G489" s="4" t="s">
        <v>38</v>
      </c>
      <c r="H489" s="4" t="s">
        <v>88</v>
      </c>
      <c r="I489" s="4" t="s">
        <v>86</v>
      </c>
      <c r="J489" s="5">
        <v>17</v>
      </c>
      <c r="K489" s="5">
        <v>160.28</v>
      </c>
      <c r="L489" s="5">
        <v>2724.76</v>
      </c>
      <c r="M489" s="5">
        <v>1689.35</v>
      </c>
      <c r="N489" s="5">
        <v>1035.4100000000001</v>
      </c>
    </row>
    <row r="490" spans="1:14">
      <c r="A490" s="2">
        <v>44626.416666666657</v>
      </c>
      <c r="B490" s="3">
        <v>2022</v>
      </c>
      <c r="C490" s="4" t="s">
        <v>59</v>
      </c>
      <c r="D490" s="4">
        <v>3</v>
      </c>
      <c r="E490" s="4" t="s">
        <v>13</v>
      </c>
      <c r="F490" s="4" t="s">
        <v>44</v>
      </c>
      <c r="G490" s="4" t="s">
        <v>37</v>
      </c>
      <c r="H490" s="4" t="s">
        <v>62</v>
      </c>
      <c r="I490" s="4" t="s">
        <v>63</v>
      </c>
      <c r="J490" s="5">
        <v>14</v>
      </c>
      <c r="K490" s="5">
        <v>490.16</v>
      </c>
      <c r="L490" s="5">
        <v>6862.24</v>
      </c>
      <c r="M490" s="5">
        <v>4254.59</v>
      </c>
      <c r="N490" s="5">
        <v>2607.65</v>
      </c>
    </row>
    <row r="491" spans="1:14">
      <c r="A491" s="2">
        <v>44989.416666666657</v>
      </c>
      <c r="B491" s="3">
        <v>2023</v>
      </c>
      <c r="C491" s="4" t="s">
        <v>59</v>
      </c>
      <c r="D491" s="4">
        <v>3</v>
      </c>
      <c r="E491" s="4" t="s">
        <v>13</v>
      </c>
      <c r="F491" s="4" t="s">
        <v>42</v>
      </c>
      <c r="G491" s="4" t="s">
        <v>38</v>
      </c>
      <c r="H491" s="4" t="s">
        <v>72</v>
      </c>
      <c r="I491" s="4" t="s">
        <v>63</v>
      </c>
      <c r="J491" s="5">
        <v>8</v>
      </c>
      <c r="K491" s="5">
        <v>377.85</v>
      </c>
      <c r="L491" s="5">
        <v>3022.8</v>
      </c>
      <c r="M491" s="5">
        <v>1874.14</v>
      </c>
      <c r="N491" s="5">
        <v>1148.6600000000001</v>
      </c>
    </row>
    <row r="492" spans="1:14">
      <c r="A492" s="2">
        <v>45353.416666666657</v>
      </c>
      <c r="B492" s="3">
        <v>2024</v>
      </c>
      <c r="C492" s="4" t="s">
        <v>59</v>
      </c>
      <c r="D492" s="4">
        <v>3</v>
      </c>
      <c r="E492" s="4" t="s">
        <v>13</v>
      </c>
      <c r="F492" s="4" t="s">
        <v>41</v>
      </c>
      <c r="G492" s="4" t="s">
        <v>38</v>
      </c>
      <c r="H492" s="4" t="s">
        <v>74</v>
      </c>
      <c r="I492" s="4" t="s">
        <v>61</v>
      </c>
      <c r="J492" s="5">
        <v>22</v>
      </c>
      <c r="K492" s="5">
        <v>228.84</v>
      </c>
      <c r="L492" s="5">
        <v>5034.4799999999996</v>
      </c>
      <c r="M492" s="5">
        <v>3121.38</v>
      </c>
      <c r="N492" s="5">
        <v>1913.1</v>
      </c>
    </row>
    <row r="493" spans="1:14">
      <c r="A493" s="2">
        <v>45729.416666666657</v>
      </c>
      <c r="B493" s="3">
        <v>2025</v>
      </c>
      <c r="C493" s="4" t="s">
        <v>59</v>
      </c>
      <c r="D493" s="4">
        <v>3</v>
      </c>
      <c r="E493" s="4" t="s">
        <v>13</v>
      </c>
      <c r="F493" s="4" t="s">
        <v>44</v>
      </c>
      <c r="G493" s="4" t="s">
        <v>39</v>
      </c>
      <c r="H493" s="4" t="s">
        <v>79</v>
      </c>
      <c r="I493" s="4" t="s">
        <v>63</v>
      </c>
      <c r="J493" s="5">
        <v>16</v>
      </c>
      <c r="K493" s="5">
        <v>894.09</v>
      </c>
      <c r="L493" s="5">
        <v>14305.44</v>
      </c>
      <c r="M493" s="5">
        <v>8869.3700000000008</v>
      </c>
      <c r="N493" s="5">
        <v>5436.07</v>
      </c>
    </row>
    <row r="494" spans="1:14">
      <c r="A494" s="2">
        <v>44663.416666666657</v>
      </c>
      <c r="B494" s="3">
        <v>2022</v>
      </c>
      <c r="C494" s="4" t="s">
        <v>76</v>
      </c>
      <c r="D494" s="4">
        <v>4</v>
      </c>
      <c r="E494" s="4" t="s">
        <v>17</v>
      </c>
      <c r="F494" s="4" t="s">
        <v>44</v>
      </c>
      <c r="G494" s="4" t="s">
        <v>35</v>
      </c>
      <c r="H494" s="4" t="s">
        <v>64</v>
      </c>
      <c r="I494" s="4" t="s">
        <v>63</v>
      </c>
      <c r="J494" s="5">
        <v>10</v>
      </c>
      <c r="K494" s="5">
        <v>67.88</v>
      </c>
      <c r="L494" s="5">
        <v>678.8</v>
      </c>
      <c r="M494" s="5">
        <v>420.86</v>
      </c>
      <c r="N494" s="5">
        <v>257.94</v>
      </c>
    </row>
    <row r="495" spans="1:14">
      <c r="A495" s="2">
        <v>45029.416666666657</v>
      </c>
      <c r="B495" s="3">
        <v>2023</v>
      </c>
      <c r="C495" s="4" t="s">
        <v>76</v>
      </c>
      <c r="D495" s="4">
        <v>4</v>
      </c>
      <c r="E495" s="4" t="s">
        <v>17</v>
      </c>
      <c r="F495" s="4" t="s">
        <v>44</v>
      </c>
      <c r="G495" s="4" t="s">
        <v>36</v>
      </c>
      <c r="H495" s="4" t="s">
        <v>91</v>
      </c>
      <c r="I495" s="4" t="s">
        <v>61</v>
      </c>
      <c r="J495" s="5">
        <v>15</v>
      </c>
      <c r="K495" s="5">
        <v>693.4</v>
      </c>
      <c r="L495" s="5">
        <v>10401</v>
      </c>
      <c r="M495" s="5">
        <v>6448.62</v>
      </c>
      <c r="N495" s="5">
        <v>3952.38</v>
      </c>
    </row>
    <row r="496" spans="1:14">
      <c r="A496" s="2">
        <v>45386.416666666657</v>
      </c>
      <c r="B496" s="3">
        <v>2024</v>
      </c>
      <c r="C496" s="4" t="s">
        <v>76</v>
      </c>
      <c r="D496" s="4">
        <v>4</v>
      </c>
      <c r="E496" s="4" t="s">
        <v>17</v>
      </c>
      <c r="F496" s="4" t="s">
        <v>43</v>
      </c>
      <c r="G496" s="4" t="s">
        <v>37</v>
      </c>
      <c r="H496" s="4" t="s">
        <v>87</v>
      </c>
      <c r="I496" s="4" t="s">
        <v>71</v>
      </c>
      <c r="J496" s="5">
        <v>19</v>
      </c>
      <c r="K496" s="5">
        <v>189.09</v>
      </c>
      <c r="L496" s="5">
        <v>3592.71</v>
      </c>
      <c r="M496" s="5">
        <v>2227.48</v>
      </c>
      <c r="N496" s="5">
        <v>1365.23</v>
      </c>
    </row>
    <row r="497" spans="1:14">
      <c r="A497" s="2">
        <v>45769.416666666657</v>
      </c>
      <c r="B497" s="3">
        <v>2025</v>
      </c>
      <c r="C497" s="4" t="s">
        <v>76</v>
      </c>
      <c r="D497" s="4">
        <v>4</v>
      </c>
      <c r="E497" s="4" t="s">
        <v>17</v>
      </c>
      <c r="F497" s="4" t="s">
        <v>40</v>
      </c>
      <c r="G497" s="4" t="s">
        <v>39</v>
      </c>
      <c r="H497" s="4" t="s">
        <v>60</v>
      </c>
      <c r="I497" s="4" t="s">
        <v>63</v>
      </c>
      <c r="J497" s="5">
        <v>10</v>
      </c>
      <c r="K497" s="5">
        <v>6139.06</v>
      </c>
      <c r="L497" s="5">
        <v>61390.6</v>
      </c>
      <c r="M497" s="5">
        <v>38062.17</v>
      </c>
      <c r="N497" s="5">
        <v>23328.43</v>
      </c>
    </row>
    <row r="498" spans="1:14">
      <c r="A498" s="2">
        <v>44691.416666666657</v>
      </c>
      <c r="B498" s="3">
        <v>2022</v>
      </c>
      <c r="C498" s="4" t="s">
        <v>76</v>
      </c>
      <c r="D498" s="4">
        <v>5</v>
      </c>
      <c r="E498" s="4" t="s">
        <v>18</v>
      </c>
      <c r="F498" s="4" t="s">
        <v>44</v>
      </c>
      <c r="G498" s="4" t="s">
        <v>37</v>
      </c>
      <c r="H498" s="4" t="s">
        <v>62</v>
      </c>
      <c r="I498" s="4" t="s">
        <v>65</v>
      </c>
      <c r="J498" s="5">
        <v>13</v>
      </c>
      <c r="K498" s="5">
        <v>448.27</v>
      </c>
      <c r="L498" s="5">
        <v>5827.51</v>
      </c>
      <c r="M498" s="5">
        <v>3613.06</v>
      </c>
      <c r="N498" s="5">
        <v>2214.4499999999998</v>
      </c>
    </row>
    <row r="499" spans="1:14">
      <c r="A499" s="2">
        <v>45053.416666666657</v>
      </c>
      <c r="B499" s="3">
        <v>2023</v>
      </c>
      <c r="C499" s="4" t="s">
        <v>76</v>
      </c>
      <c r="D499" s="4">
        <v>5</v>
      </c>
      <c r="E499" s="4" t="s">
        <v>18</v>
      </c>
      <c r="F499" s="4" t="s">
        <v>44</v>
      </c>
      <c r="G499" s="4" t="s">
        <v>36</v>
      </c>
      <c r="H499" s="4" t="s">
        <v>81</v>
      </c>
      <c r="I499" s="4" t="s">
        <v>68</v>
      </c>
      <c r="J499" s="5">
        <v>15</v>
      </c>
      <c r="K499" s="5">
        <v>1710.56</v>
      </c>
      <c r="L499" s="5">
        <v>25658.400000000001</v>
      </c>
      <c r="M499" s="5">
        <v>15908.21</v>
      </c>
      <c r="N499" s="5">
        <v>9750.19</v>
      </c>
    </row>
    <row r="500" spans="1:14">
      <c r="A500" s="2">
        <v>45429.416666666657</v>
      </c>
      <c r="B500" s="3">
        <v>2024</v>
      </c>
      <c r="C500" s="4" t="s">
        <v>76</v>
      </c>
      <c r="D500" s="4">
        <v>5</v>
      </c>
      <c r="E500" s="4" t="s">
        <v>18</v>
      </c>
      <c r="F500" s="4" t="s">
        <v>41</v>
      </c>
      <c r="G500" s="4" t="s">
        <v>39</v>
      </c>
      <c r="H500" s="4" t="s">
        <v>82</v>
      </c>
      <c r="I500" s="4" t="s">
        <v>71</v>
      </c>
      <c r="J500" s="5">
        <v>42</v>
      </c>
      <c r="K500" s="5">
        <v>2720.23</v>
      </c>
      <c r="L500" s="5">
        <v>114249.66</v>
      </c>
      <c r="M500" s="5">
        <v>70834.789999999994</v>
      </c>
      <c r="N500" s="5">
        <v>43414.87</v>
      </c>
    </row>
    <row r="501" spans="1:14">
      <c r="A501" s="2">
        <v>45778.416666666657</v>
      </c>
      <c r="B501" s="3">
        <v>2025</v>
      </c>
      <c r="C501" s="4" t="s">
        <v>76</v>
      </c>
      <c r="D501" s="4">
        <v>5</v>
      </c>
      <c r="E501" s="4" t="s">
        <v>18</v>
      </c>
      <c r="F501" s="4" t="s">
        <v>43</v>
      </c>
      <c r="G501" s="4" t="s">
        <v>38</v>
      </c>
      <c r="H501" s="4" t="s">
        <v>77</v>
      </c>
      <c r="I501" s="4" t="s">
        <v>63</v>
      </c>
      <c r="J501" s="5">
        <v>12</v>
      </c>
      <c r="K501" s="5">
        <v>218.77</v>
      </c>
      <c r="L501" s="5">
        <v>2625.24</v>
      </c>
      <c r="M501" s="5">
        <v>1627.65</v>
      </c>
      <c r="N501" s="5">
        <v>997.59</v>
      </c>
    </row>
    <row r="502" spans="1:14">
      <c r="A502" s="2">
        <v>44717.416666666657</v>
      </c>
      <c r="B502" s="3">
        <v>2022</v>
      </c>
      <c r="C502" s="4" t="s">
        <v>76</v>
      </c>
      <c r="D502" s="4">
        <v>6</v>
      </c>
      <c r="E502" s="4" t="s">
        <v>19</v>
      </c>
      <c r="F502" s="4" t="s">
        <v>43</v>
      </c>
      <c r="G502" s="4" t="s">
        <v>37</v>
      </c>
      <c r="H502" s="4" t="s">
        <v>66</v>
      </c>
      <c r="I502" s="4" t="s">
        <v>71</v>
      </c>
      <c r="J502" s="5">
        <v>9</v>
      </c>
      <c r="K502" s="5">
        <v>482.27</v>
      </c>
      <c r="L502" s="5">
        <v>4340.43</v>
      </c>
      <c r="M502" s="5">
        <v>2691.07</v>
      </c>
      <c r="N502" s="5">
        <v>1649.36</v>
      </c>
    </row>
    <row r="503" spans="1:14">
      <c r="A503" s="2">
        <v>45101.416666666657</v>
      </c>
      <c r="B503" s="3">
        <v>2023</v>
      </c>
      <c r="C503" s="4" t="s">
        <v>76</v>
      </c>
      <c r="D503" s="4">
        <v>6</v>
      </c>
      <c r="E503" s="4" t="s">
        <v>19</v>
      </c>
      <c r="F503" s="4" t="s">
        <v>40</v>
      </c>
      <c r="G503" s="4" t="s">
        <v>35</v>
      </c>
      <c r="H503" s="4" t="s">
        <v>70</v>
      </c>
      <c r="I503" s="4" t="s">
        <v>68</v>
      </c>
      <c r="J503" s="5">
        <v>9</v>
      </c>
      <c r="K503" s="5">
        <v>33.83</v>
      </c>
      <c r="L503" s="5">
        <v>304.47000000000003</v>
      </c>
      <c r="M503" s="5">
        <v>188.77</v>
      </c>
      <c r="N503" s="5">
        <v>115.7</v>
      </c>
    </row>
    <row r="504" spans="1:14">
      <c r="A504" s="2">
        <v>45462.416666666657</v>
      </c>
      <c r="B504" s="3">
        <v>2024</v>
      </c>
      <c r="C504" s="4" t="s">
        <v>76</v>
      </c>
      <c r="D504" s="4">
        <v>6</v>
      </c>
      <c r="E504" s="4" t="s">
        <v>19</v>
      </c>
      <c r="F504" s="4" t="s">
        <v>44</v>
      </c>
      <c r="G504" s="4" t="s">
        <v>35</v>
      </c>
      <c r="H504" s="4" t="s">
        <v>70</v>
      </c>
      <c r="I504" s="4" t="s">
        <v>71</v>
      </c>
      <c r="J504" s="5">
        <v>25</v>
      </c>
      <c r="K504" s="5">
        <v>135.59</v>
      </c>
      <c r="L504" s="5">
        <v>3389.75</v>
      </c>
      <c r="M504" s="5">
        <v>2101.64</v>
      </c>
      <c r="N504" s="5">
        <v>1288.1099999999999</v>
      </c>
    </row>
    <row r="505" spans="1:14">
      <c r="A505" s="2">
        <v>45818.416666666657</v>
      </c>
      <c r="B505" s="3">
        <v>2025</v>
      </c>
      <c r="C505" s="4" t="s">
        <v>76</v>
      </c>
      <c r="D505" s="4">
        <v>6</v>
      </c>
      <c r="E505" s="4" t="s">
        <v>19</v>
      </c>
      <c r="F505" s="4" t="s">
        <v>42</v>
      </c>
      <c r="G505" s="4" t="s">
        <v>35</v>
      </c>
      <c r="H505" s="4" t="s">
        <v>69</v>
      </c>
      <c r="I505" s="4" t="s">
        <v>61</v>
      </c>
      <c r="J505" s="5">
        <v>3</v>
      </c>
      <c r="K505" s="5">
        <v>91.29</v>
      </c>
      <c r="L505" s="5">
        <v>273.87</v>
      </c>
      <c r="M505" s="5">
        <v>169.8</v>
      </c>
      <c r="N505" s="5">
        <v>104.07</v>
      </c>
    </row>
    <row r="506" spans="1:14">
      <c r="A506" s="2">
        <v>44745.416666666657</v>
      </c>
      <c r="B506" s="3">
        <v>2022</v>
      </c>
      <c r="C506" s="4" t="s">
        <v>80</v>
      </c>
      <c r="D506" s="4">
        <v>7</v>
      </c>
      <c r="E506" s="4" t="s">
        <v>21</v>
      </c>
      <c r="F506" s="4" t="s">
        <v>43</v>
      </c>
      <c r="G506" s="4" t="s">
        <v>36</v>
      </c>
      <c r="H506" s="4" t="s">
        <v>67</v>
      </c>
      <c r="I506" s="4" t="s">
        <v>68</v>
      </c>
      <c r="J506" s="5">
        <v>4</v>
      </c>
      <c r="K506" s="5">
        <v>4722.9799999999996</v>
      </c>
      <c r="L506" s="5">
        <v>18891.919999999998</v>
      </c>
      <c r="M506" s="5">
        <v>11712.99</v>
      </c>
      <c r="N506" s="5">
        <v>7178.93</v>
      </c>
    </row>
    <row r="507" spans="1:14">
      <c r="A507" s="2">
        <v>45135.416666666657</v>
      </c>
      <c r="B507" s="3">
        <v>2023</v>
      </c>
      <c r="C507" s="4" t="s">
        <v>80</v>
      </c>
      <c r="D507" s="4">
        <v>7</v>
      </c>
      <c r="E507" s="4" t="s">
        <v>21</v>
      </c>
      <c r="F507" s="4" t="s">
        <v>40</v>
      </c>
      <c r="G507" s="4" t="s">
        <v>38</v>
      </c>
      <c r="H507" s="4" t="s">
        <v>74</v>
      </c>
      <c r="I507" s="4" t="s">
        <v>63</v>
      </c>
      <c r="J507" s="5">
        <v>7</v>
      </c>
      <c r="K507" s="5">
        <v>167.62</v>
      </c>
      <c r="L507" s="5">
        <v>1173.3399999999999</v>
      </c>
      <c r="M507" s="5">
        <v>727.47</v>
      </c>
      <c r="N507" s="5">
        <v>445.87</v>
      </c>
    </row>
    <row r="508" spans="1:14">
      <c r="A508" s="2">
        <v>45485.416666666657</v>
      </c>
      <c r="B508" s="3">
        <v>2024</v>
      </c>
      <c r="C508" s="4" t="s">
        <v>80</v>
      </c>
      <c r="D508" s="4">
        <v>7</v>
      </c>
      <c r="E508" s="4" t="s">
        <v>21</v>
      </c>
      <c r="F508" s="4" t="s">
        <v>43</v>
      </c>
      <c r="G508" s="4" t="s">
        <v>36</v>
      </c>
      <c r="H508" s="4" t="s">
        <v>73</v>
      </c>
      <c r="I508" s="4" t="s">
        <v>71</v>
      </c>
      <c r="J508" s="5">
        <v>38</v>
      </c>
      <c r="K508" s="5">
        <v>791.07</v>
      </c>
      <c r="L508" s="5">
        <v>30060.66</v>
      </c>
      <c r="M508" s="5">
        <v>18637.61</v>
      </c>
      <c r="N508" s="5">
        <v>11423.05</v>
      </c>
    </row>
    <row r="509" spans="1:14">
      <c r="A509" s="2">
        <v>45840.416666666657</v>
      </c>
      <c r="B509" s="3">
        <v>2025</v>
      </c>
      <c r="C509" s="4" t="s">
        <v>80</v>
      </c>
      <c r="D509" s="4">
        <v>7</v>
      </c>
      <c r="E509" s="4" t="s">
        <v>21</v>
      </c>
      <c r="F509" s="4" t="s">
        <v>40</v>
      </c>
      <c r="G509" s="4" t="s">
        <v>38</v>
      </c>
      <c r="H509" s="4" t="s">
        <v>77</v>
      </c>
      <c r="I509" s="4" t="s">
        <v>65</v>
      </c>
      <c r="J509" s="5">
        <v>8</v>
      </c>
      <c r="K509" s="5">
        <v>37.35</v>
      </c>
      <c r="L509" s="5">
        <v>298.8</v>
      </c>
      <c r="M509" s="5">
        <v>185.26</v>
      </c>
      <c r="N509" s="5">
        <v>113.54</v>
      </c>
    </row>
    <row r="510" spans="1:14">
      <c r="A510" s="2">
        <v>44783.416666666657</v>
      </c>
      <c r="B510" s="3">
        <v>2022</v>
      </c>
      <c r="C510" s="4" t="s">
        <v>80</v>
      </c>
      <c r="D510" s="4">
        <v>8</v>
      </c>
      <c r="E510" s="4" t="s">
        <v>22</v>
      </c>
      <c r="F510" s="4" t="s">
        <v>41</v>
      </c>
      <c r="G510" s="4" t="s">
        <v>36</v>
      </c>
      <c r="H510" s="4" t="s">
        <v>67</v>
      </c>
      <c r="I510" s="4" t="s">
        <v>61</v>
      </c>
      <c r="J510" s="5">
        <v>4</v>
      </c>
      <c r="K510" s="5">
        <v>3501.94</v>
      </c>
      <c r="L510" s="5">
        <v>14007.76</v>
      </c>
      <c r="M510" s="5">
        <v>8684.81</v>
      </c>
      <c r="N510" s="5">
        <v>5322.95</v>
      </c>
    </row>
    <row r="511" spans="1:14">
      <c r="A511" s="2">
        <v>45160.416666666657</v>
      </c>
      <c r="B511" s="3">
        <v>2023</v>
      </c>
      <c r="C511" s="4" t="s">
        <v>80</v>
      </c>
      <c r="D511" s="4">
        <v>8</v>
      </c>
      <c r="E511" s="4" t="s">
        <v>22</v>
      </c>
      <c r="F511" s="4" t="s">
        <v>44</v>
      </c>
      <c r="G511" s="4" t="s">
        <v>39</v>
      </c>
      <c r="H511" s="4" t="s">
        <v>82</v>
      </c>
      <c r="I511" s="4" t="s">
        <v>71</v>
      </c>
      <c r="J511" s="5">
        <v>26</v>
      </c>
      <c r="K511" s="5">
        <v>2288.4499999999998</v>
      </c>
      <c r="L511" s="5">
        <v>59499.7</v>
      </c>
      <c r="M511" s="5">
        <v>36889.81</v>
      </c>
      <c r="N511" s="5">
        <v>22609.89</v>
      </c>
    </row>
    <row r="512" spans="1:14">
      <c r="A512" s="2">
        <v>45518.416666666657</v>
      </c>
      <c r="B512" s="3">
        <v>2024</v>
      </c>
      <c r="C512" s="4" t="s">
        <v>80</v>
      </c>
      <c r="D512" s="4">
        <v>8</v>
      </c>
      <c r="E512" s="4" t="s">
        <v>22</v>
      </c>
      <c r="F512" s="4" t="s">
        <v>42</v>
      </c>
      <c r="G512" s="4" t="s">
        <v>39</v>
      </c>
      <c r="H512" s="4" t="s">
        <v>79</v>
      </c>
      <c r="I512" s="4" t="s">
        <v>65</v>
      </c>
      <c r="J512" s="5">
        <v>29</v>
      </c>
      <c r="K512" s="5">
        <v>5853.63</v>
      </c>
      <c r="L512" s="5">
        <v>169755.27</v>
      </c>
      <c r="M512" s="5">
        <v>105248.27</v>
      </c>
      <c r="N512" s="5">
        <v>64507</v>
      </c>
    </row>
    <row r="513" spans="1:14">
      <c r="A513" s="2">
        <v>45893.416666666657</v>
      </c>
      <c r="B513" s="3">
        <v>2025</v>
      </c>
      <c r="C513" s="4" t="s">
        <v>80</v>
      </c>
      <c r="D513" s="4">
        <v>8</v>
      </c>
      <c r="E513" s="4" t="s">
        <v>22</v>
      </c>
      <c r="F513" s="4" t="s">
        <v>42</v>
      </c>
      <c r="G513" s="4" t="s">
        <v>39</v>
      </c>
      <c r="H513" s="4" t="s">
        <v>82</v>
      </c>
      <c r="I513" s="4" t="s">
        <v>86</v>
      </c>
      <c r="J513" s="5">
        <v>31</v>
      </c>
      <c r="K513" s="5">
        <v>5890.02</v>
      </c>
      <c r="L513" s="5">
        <v>182590.62</v>
      </c>
      <c r="M513" s="5">
        <v>113206.18</v>
      </c>
      <c r="N513" s="5">
        <v>69384.44</v>
      </c>
    </row>
    <row r="514" spans="1:14">
      <c r="A514" s="2">
        <v>44811.416666666657</v>
      </c>
      <c r="B514" s="3">
        <v>2022</v>
      </c>
      <c r="C514" s="4" t="s">
        <v>80</v>
      </c>
      <c r="D514" s="4">
        <v>9</v>
      </c>
      <c r="E514" s="4" t="s">
        <v>23</v>
      </c>
      <c r="F514" s="4" t="s">
        <v>41</v>
      </c>
      <c r="G514" s="4" t="s">
        <v>39</v>
      </c>
      <c r="H514" s="4" t="s">
        <v>78</v>
      </c>
      <c r="I514" s="4" t="s">
        <v>61</v>
      </c>
      <c r="J514" s="5">
        <v>16</v>
      </c>
      <c r="K514" s="5">
        <v>2986.28</v>
      </c>
      <c r="L514" s="5">
        <v>47780.480000000003</v>
      </c>
      <c r="M514" s="5">
        <v>29623.9</v>
      </c>
      <c r="N514" s="5">
        <v>18156.580000000002</v>
      </c>
    </row>
    <row r="515" spans="1:14">
      <c r="A515" s="2">
        <v>45172.416666666657</v>
      </c>
      <c r="B515" s="3">
        <v>2023</v>
      </c>
      <c r="C515" s="4" t="s">
        <v>80</v>
      </c>
      <c r="D515" s="4">
        <v>9</v>
      </c>
      <c r="E515" s="4" t="s">
        <v>23</v>
      </c>
      <c r="F515" s="4" t="s">
        <v>40</v>
      </c>
      <c r="G515" s="4" t="s">
        <v>39</v>
      </c>
      <c r="H515" s="4" t="s">
        <v>79</v>
      </c>
      <c r="I515" s="4" t="s">
        <v>63</v>
      </c>
      <c r="J515" s="5">
        <v>26</v>
      </c>
      <c r="K515" s="5">
        <v>1606.22</v>
      </c>
      <c r="L515" s="5">
        <v>41761.72</v>
      </c>
      <c r="M515" s="5">
        <v>25892.27</v>
      </c>
      <c r="N515" s="5">
        <v>15869.45</v>
      </c>
    </row>
    <row r="516" spans="1:14">
      <c r="A516" s="2">
        <v>45546.416666666657</v>
      </c>
      <c r="B516" s="3">
        <v>2024</v>
      </c>
      <c r="C516" s="4" t="s">
        <v>80</v>
      </c>
      <c r="D516" s="4">
        <v>9</v>
      </c>
      <c r="E516" s="4" t="s">
        <v>23</v>
      </c>
      <c r="F516" s="4" t="s">
        <v>43</v>
      </c>
      <c r="G516" s="4" t="s">
        <v>35</v>
      </c>
      <c r="H516" s="4" t="s">
        <v>90</v>
      </c>
      <c r="I516" s="4" t="s">
        <v>65</v>
      </c>
      <c r="J516" s="5">
        <v>21</v>
      </c>
      <c r="K516" s="5">
        <v>57.67</v>
      </c>
      <c r="L516" s="5">
        <v>1211.07</v>
      </c>
      <c r="M516" s="5">
        <v>750.86</v>
      </c>
      <c r="N516" s="5">
        <v>460.21</v>
      </c>
    </row>
    <row r="517" spans="1:14">
      <c r="A517" s="2">
        <v>45916.416666666657</v>
      </c>
      <c r="B517" s="3">
        <v>2025</v>
      </c>
      <c r="C517" s="4" t="s">
        <v>80</v>
      </c>
      <c r="D517" s="4">
        <v>9</v>
      </c>
      <c r="E517" s="4" t="s">
        <v>23</v>
      </c>
      <c r="F517" s="4" t="s">
        <v>40</v>
      </c>
      <c r="G517" s="4" t="s">
        <v>35</v>
      </c>
      <c r="H517" s="4" t="s">
        <v>64</v>
      </c>
      <c r="I517" s="4" t="s">
        <v>63</v>
      </c>
      <c r="J517" s="5">
        <v>30</v>
      </c>
      <c r="K517" s="5">
        <v>136.66999999999999</v>
      </c>
      <c r="L517" s="5">
        <v>4100.1000000000004</v>
      </c>
      <c r="M517" s="5">
        <v>2542.06</v>
      </c>
      <c r="N517" s="5">
        <v>1558.04</v>
      </c>
    </row>
    <row r="518" spans="1:14">
      <c r="A518" s="2">
        <v>44853.416666666657</v>
      </c>
      <c r="B518" s="3">
        <v>2022</v>
      </c>
      <c r="C518" s="4" t="s">
        <v>85</v>
      </c>
      <c r="D518" s="4">
        <v>10</v>
      </c>
      <c r="E518" s="4" t="s">
        <v>29</v>
      </c>
      <c r="F518" s="4" t="s">
        <v>40</v>
      </c>
      <c r="G518" s="4" t="s">
        <v>39</v>
      </c>
      <c r="H518" s="4" t="s">
        <v>82</v>
      </c>
      <c r="I518" s="4" t="s">
        <v>71</v>
      </c>
      <c r="J518" s="5">
        <v>7</v>
      </c>
      <c r="K518" s="5">
        <v>3196.23</v>
      </c>
      <c r="L518" s="5">
        <v>22373.61</v>
      </c>
      <c r="M518" s="5">
        <v>13871.64</v>
      </c>
      <c r="N518" s="5">
        <v>8501.9699999999993</v>
      </c>
    </row>
    <row r="519" spans="1:14">
      <c r="A519" s="2">
        <v>45227.416666666657</v>
      </c>
      <c r="B519" s="3">
        <v>2023</v>
      </c>
      <c r="C519" s="4" t="s">
        <v>85</v>
      </c>
      <c r="D519" s="4">
        <v>10</v>
      </c>
      <c r="E519" s="4" t="s">
        <v>29</v>
      </c>
      <c r="F519" s="4" t="s">
        <v>44</v>
      </c>
      <c r="G519" s="4" t="s">
        <v>37</v>
      </c>
      <c r="H519" s="4" t="s">
        <v>84</v>
      </c>
      <c r="I519" s="4" t="s">
        <v>61</v>
      </c>
      <c r="J519" s="5">
        <v>31</v>
      </c>
      <c r="K519" s="5">
        <v>262.92</v>
      </c>
      <c r="L519" s="5">
        <v>8150.52</v>
      </c>
      <c r="M519" s="5">
        <v>5053.32</v>
      </c>
      <c r="N519" s="5">
        <v>3097.2</v>
      </c>
    </row>
    <row r="520" spans="1:14">
      <c r="A520" s="2">
        <v>45574.416666666657</v>
      </c>
      <c r="B520" s="3">
        <v>2024</v>
      </c>
      <c r="C520" s="4" t="s">
        <v>85</v>
      </c>
      <c r="D520" s="4">
        <v>10</v>
      </c>
      <c r="E520" s="4" t="s">
        <v>29</v>
      </c>
      <c r="F520" s="4" t="s">
        <v>43</v>
      </c>
      <c r="G520" s="4" t="s">
        <v>37</v>
      </c>
      <c r="H520" s="4" t="s">
        <v>62</v>
      </c>
      <c r="I520" s="4" t="s">
        <v>71</v>
      </c>
      <c r="J520" s="5">
        <v>45</v>
      </c>
      <c r="K520" s="5">
        <v>408.53</v>
      </c>
      <c r="L520" s="5">
        <v>18383.849999999999</v>
      </c>
      <c r="M520" s="5">
        <v>11397.99</v>
      </c>
      <c r="N520" s="5">
        <v>6985.86</v>
      </c>
    </row>
    <row r="521" spans="1:14">
      <c r="A521" s="2">
        <v>45953.416666666657</v>
      </c>
      <c r="B521" s="3">
        <v>2025</v>
      </c>
      <c r="C521" s="4" t="s">
        <v>85</v>
      </c>
      <c r="D521" s="4">
        <v>10</v>
      </c>
      <c r="E521" s="4" t="s">
        <v>29</v>
      </c>
      <c r="F521" s="4" t="s">
        <v>41</v>
      </c>
      <c r="G521" s="4" t="s">
        <v>39</v>
      </c>
      <c r="H521" s="4" t="s">
        <v>60</v>
      </c>
      <c r="I521" s="4" t="s">
        <v>65</v>
      </c>
      <c r="J521" s="5">
        <v>30</v>
      </c>
      <c r="K521" s="5">
        <v>2480.84</v>
      </c>
      <c r="L521" s="5">
        <v>74425.2</v>
      </c>
      <c r="M521" s="5">
        <v>46143.62</v>
      </c>
      <c r="N521" s="5">
        <v>28281.58</v>
      </c>
    </row>
    <row r="522" spans="1:14">
      <c r="A522" s="2">
        <v>44874.416666666657</v>
      </c>
      <c r="B522" s="3">
        <v>2022</v>
      </c>
      <c r="C522" s="4" t="s">
        <v>85</v>
      </c>
      <c r="D522" s="4">
        <v>11</v>
      </c>
      <c r="E522" s="4" t="s">
        <v>30</v>
      </c>
      <c r="F522" s="4" t="s">
        <v>44</v>
      </c>
      <c r="G522" s="4" t="s">
        <v>39</v>
      </c>
      <c r="H522" s="4" t="s">
        <v>78</v>
      </c>
      <c r="I522" s="4" t="s">
        <v>86</v>
      </c>
      <c r="J522" s="5">
        <v>14</v>
      </c>
      <c r="K522" s="5">
        <v>3025.33</v>
      </c>
      <c r="L522" s="5">
        <v>42354.62</v>
      </c>
      <c r="M522" s="5">
        <v>26259.86</v>
      </c>
      <c r="N522" s="5">
        <v>16094.76</v>
      </c>
    </row>
    <row r="523" spans="1:14">
      <c r="A523" s="2">
        <v>45242.416666666657</v>
      </c>
      <c r="B523" s="3">
        <v>2023</v>
      </c>
      <c r="C523" s="4" t="s">
        <v>85</v>
      </c>
      <c r="D523" s="4">
        <v>11</v>
      </c>
      <c r="E523" s="4" t="s">
        <v>30</v>
      </c>
      <c r="F523" s="4" t="s">
        <v>44</v>
      </c>
      <c r="G523" s="4" t="s">
        <v>36</v>
      </c>
      <c r="H523" s="4" t="s">
        <v>67</v>
      </c>
      <c r="I523" s="4" t="s">
        <v>71</v>
      </c>
      <c r="J523" s="5">
        <v>31</v>
      </c>
      <c r="K523" s="5">
        <v>1487.08</v>
      </c>
      <c r="L523" s="5">
        <v>46099.48</v>
      </c>
      <c r="M523" s="5">
        <v>28581.68</v>
      </c>
      <c r="N523" s="5">
        <v>17517.8</v>
      </c>
    </row>
    <row r="524" spans="1:14">
      <c r="A524" s="2">
        <v>45603.416666666657</v>
      </c>
      <c r="B524" s="3">
        <v>2024</v>
      </c>
      <c r="C524" s="4" t="s">
        <v>85</v>
      </c>
      <c r="D524" s="4">
        <v>11</v>
      </c>
      <c r="E524" s="4" t="s">
        <v>30</v>
      </c>
      <c r="F524" s="4" t="s">
        <v>41</v>
      </c>
      <c r="G524" s="4" t="s">
        <v>38</v>
      </c>
      <c r="H524" s="4" t="s">
        <v>72</v>
      </c>
      <c r="I524" s="4" t="s">
        <v>65</v>
      </c>
      <c r="J524" s="5">
        <v>6</v>
      </c>
      <c r="K524" s="5">
        <v>115.08</v>
      </c>
      <c r="L524" s="5">
        <v>690.48</v>
      </c>
      <c r="M524" s="5">
        <v>428.1</v>
      </c>
      <c r="N524" s="5">
        <v>262.38</v>
      </c>
    </row>
    <row r="525" spans="1:14">
      <c r="A525" s="2">
        <v>45984.416666666657</v>
      </c>
      <c r="B525" s="3">
        <v>2025</v>
      </c>
      <c r="C525" s="4" t="s">
        <v>85</v>
      </c>
      <c r="D525" s="4">
        <v>11</v>
      </c>
      <c r="E525" s="4" t="s">
        <v>30</v>
      </c>
      <c r="F525" s="4" t="s">
        <v>41</v>
      </c>
      <c r="G525" s="4" t="s">
        <v>39</v>
      </c>
      <c r="H525" s="4" t="s">
        <v>60</v>
      </c>
      <c r="I525" s="4" t="s">
        <v>68</v>
      </c>
      <c r="J525" s="5">
        <v>44</v>
      </c>
      <c r="K525" s="5">
        <v>2167.4699999999998</v>
      </c>
      <c r="L525" s="5">
        <v>95368.68</v>
      </c>
      <c r="M525" s="5">
        <v>59128.58</v>
      </c>
      <c r="N525" s="5">
        <v>36240.1</v>
      </c>
    </row>
    <row r="526" spans="1:14">
      <c r="A526" s="2">
        <v>44909.416666666657</v>
      </c>
      <c r="B526" s="3">
        <v>2022</v>
      </c>
      <c r="C526" s="4" t="s">
        <v>85</v>
      </c>
      <c r="D526" s="4">
        <v>12</v>
      </c>
      <c r="E526" s="4" t="s">
        <v>31</v>
      </c>
      <c r="F526" s="4" t="s">
        <v>42</v>
      </c>
      <c r="G526" s="4" t="s">
        <v>38</v>
      </c>
      <c r="H526" s="4" t="s">
        <v>72</v>
      </c>
      <c r="I526" s="4" t="s">
        <v>65</v>
      </c>
      <c r="J526" s="5">
        <v>15</v>
      </c>
      <c r="K526" s="5">
        <v>84.69</v>
      </c>
      <c r="L526" s="5">
        <v>1270.3499999999999</v>
      </c>
      <c r="M526" s="5">
        <v>787.62</v>
      </c>
      <c r="N526" s="5">
        <v>482.73</v>
      </c>
    </row>
    <row r="527" spans="1:14">
      <c r="A527" s="2">
        <v>45282.416666666657</v>
      </c>
      <c r="B527" s="3">
        <v>2023</v>
      </c>
      <c r="C527" s="4" t="s">
        <v>85</v>
      </c>
      <c r="D527" s="4">
        <v>12</v>
      </c>
      <c r="E527" s="4" t="s">
        <v>31</v>
      </c>
      <c r="F527" s="4" t="s">
        <v>44</v>
      </c>
      <c r="G527" s="4" t="s">
        <v>35</v>
      </c>
      <c r="H527" s="4" t="s">
        <v>70</v>
      </c>
      <c r="I527" s="4" t="s">
        <v>65</v>
      </c>
      <c r="J527" s="5">
        <v>20</v>
      </c>
      <c r="K527" s="5">
        <v>69.34</v>
      </c>
      <c r="L527" s="5">
        <v>1386.8</v>
      </c>
      <c r="M527" s="5">
        <v>859.82</v>
      </c>
      <c r="N527" s="5">
        <v>526.98</v>
      </c>
    </row>
    <row r="528" spans="1:14">
      <c r="A528" s="2">
        <v>45652.416666666657</v>
      </c>
      <c r="B528" s="3">
        <v>2024</v>
      </c>
      <c r="C528" s="4" t="s">
        <v>85</v>
      </c>
      <c r="D528" s="4">
        <v>12</v>
      </c>
      <c r="E528" s="4" t="s">
        <v>31</v>
      </c>
      <c r="F528" s="4" t="s">
        <v>42</v>
      </c>
      <c r="G528" s="4" t="s">
        <v>36</v>
      </c>
      <c r="H528" s="4" t="s">
        <v>75</v>
      </c>
      <c r="I528" s="4" t="s">
        <v>65</v>
      </c>
      <c r="J528" s="5">
        <v>42</v>
      </c>
      <c r="K528" s="5">
        <v>4501.62</v>
      </c>
      <c r="L528" s="5">
        <v>189068.04</v>
      </c>
      <c r="M528" s="5">
        <v>117222.18</v>
      </c>
      <c r="N528" s="5">
        <v>71845.86</v>
      </c>
    </row>
    <row r="529" spans="1:14">
      <c r="A529" s="2">
        <v>46017.416666666657</v>
      </c>
      <c r="B529" s="3">
        <v>2025</v>
      </c>
      <c r="C529" s="4" t="s">
        <v>85</v>
      </c>
      <c r="D529" s="4">
        <v>12</v>
      </c>
      <c r="E529" s="4" t="s">
        <v>31</v>
      </c>
      <c r="F529" s="4" t="s">
        <v>41</v>
      </c>
      <c r="G529" s="4" t="s">
        <v>35</v>
      </c>
      <c r="H529" s="4" t="s">
        <v>70</v>
      </c>
      <c r="I529" s="4" t="s">
        <v>63</v>
      </c>
      <c r="J529" s="5">
        <v>38</v>
      </c>
      <c r="K529" s="5">
        <v>135.04</v>
      </c>
      <c r="L529" s="5">
        <v>5131.5200000000004</v>
      </c>
      <c r="M529" s="5">
        <v>3181.54</v>
      </c>
      <c r="N529" s="5">
        <v>1949.98</v>
      </c>
    </row>
    <row r="530" spans="1:14">
      <c r="A530" s="2">
        <v>44567.416666666657</v>
      </c>
      <c r="B530" s="3">
        <v>2022</v>
      </c>
      <c r="C530" s="4" t="s">
        <v>59</v>
      </c>
      <c r="D530" s="4">
        <v>1</v>
      </c>
      <c r="E530" s="4" t="s">
        <v>1</v>
      </c>
      <c r="F530" s="4" t="s">
        <v>42</v>
      </c>
      <c r="G530" s="4" t="s">
        <v>39</v>
      </c>
      <c r="H530" s="4" t="s">
        <v>60</v>
      </c>
      <c r="I530" s="4" t="s">
        <v>68</v>
      </c>
      <c r="J530" s="5">
        <v>11</v>
      </c>
      <c r="K530" s="5">
        <v>4870.8500000000004</v>
      </c>
      <c r="L530" s="5">
        <v>53579.35</v>
      </c>
      <c r="M530" s="5">
        <v>33219.199999999997</v>
      </c>
      <c r="N530" s="5">
        <v>20360.150000000001</v>
      </c>
    </row>
    <row r="531" spans="1:14">
      <c r="A531" s="2">
        <v>44930.416666666657</v>
      </c>
      <c r="B531" s="3">
        <v>2023</v>
      </c>
      <c r="C531" s="4" t="s">
        <v>59</v>
      </c>
      <c r="D531" s="4">
        <v>1</v>
      </c>
      <c r="E531" s="4" t="s">
        <v>1</v>
      </c>
      <c r="F531" s="4" t="s">
        <v>42</v>
      </c>
      <c r="G531" s="4" t="s">
        <v>38</v>
      </c>
      <c r="H531" s="4" t="s">
        <v>83</v>
      </c>
      <c r="I531" s="4" t="s">
        <v>86</v>
      </c>
      <c r="J531" s="5">
        <v>21</v>
      </c>
      <c r="K531" s="5">
        <v>336.71</v>
      </c>
      <c r="L531" s="5">
        <v>7070.91</v>
      </c>
      <c r="M531" s="5">
        <v>4383.96</v>
      </c>
      <c r="N531" s="5">
        <v>2686.95</v>
      </c>
    </row>
    <row r="532" spans="1:14">
      <c r="A532" s="2">
        <v>45295.416666666657</v>
      </c>
      <c r="B532" s="3">
        <v>2024</v>
      </c>
      <c r="C532" s="4" t="s">
        <v>59</v>
      </c>
      <c r="D532" s="4">
        <v>1</v>
      </c>
      <c r="E532" s="4" t="s">
        <v>1</v>
      </c>
      <c r="F532" s="4" t="s">
        <v>42</v>
      </c>
      <c r="G532" s="4" t="s">
        <v>35</v>
      </c>
      <c r="H532" s="4" t="s">
        <v>69</v>
      </c>
      <c r="I532" s="4" t="s">
        <v>61</v>
      </c>
      <c r="J532" s="5">
        <v>27</v>
      </c>
      <c r="K532" s="5">
        <v>103.03</v>
      </c>
      <c r="L532" s="5">
        <v>2781.81</v>
      </c>
      <c r="M532" s="5">
        <v>1724.72</v>
      </c>
      <c r="N532" s="5">
        <v>1057.0899999999999</v>
      </c>
    </row>
    <row r="533" spans="1:14">
      <c r="A533" s="2">
        <v>45675.416666666657</v>
      </c>
      <c r="B533" s="3">
        <v>2025</v>
      </c>
      <c r="C533" s="4" t="s">
        <v>59</v>
      </c>
      <c r="D533" s="4">
        <v>1</v>
      </c>
      <c r="E533" s="4" t="s">
        <v>1</v>
      </c>
      <c r="F533" s="4" t="s">
        <v>42</v>
      </c>
      <c r="G533" s="4" t="s">
        <v>38</v>
      </c>
      <c r="H533" s="4" t="s">
        <v>72</v>
      </c>
      <c r="I533" s="4" t="s">
        <v>63</v>
      </c>
      <c r="J533" s="5">
        <v>26</v>
      </c>
      <c r="K533" s="5">
        <v>100.39</v>
      </c>
      <c r="L533" s="5">
        <v>2610.14</v>
      </c>
      <c r="M533" s="5">
        <v>1618.29</v>
      </c>
      <c r="N533" s="5">
        <v>991.85</v>
      </c>
    </row>
    <row r="534" spans="1:14">
      <c r="A534" s="2">
        <v>44595.416666666657</v>
      </c>
      <c r="B534" s="3">
        <v>2022</v>
      </c>
      <c r="C534" s="4" t="s">
        <v>59</v>
      </c>
      <c r="D534" s="4">
        <v>2</v>
      </c>
      <c r="E534" s="4" t="s">
        <v>2</v>
      </c>
      <c r="F534" s="4" t="s">
        <v>42</v>
      </c>
      <c r="G534" s="4" t="s">
        <v>39</v>
      </c>
      <c r="H534" s="4" t="s">
        <v>60</v>
      </c>
      <c r="I534" s="4" t="s">
        <v>71</v>
      </c>
      <c r="J534" s="5">
        <v>8</v>
      </c>
      <c r="K534" s="5">
        <v>1167.83</v>
      </c>
      <c r="L534" s="5">
        <v>9342.64</v>
      </c>
      <c r="M534" s="5">
        <v>5792.44</v>
      </c>
      <c r="N534" s="5">
        <v>3550.2</v>
      </c>
    </row>
    <row r="535" spans="1:14">
      <c r="A535" s="2">
        <v>44977.416666666657</v>
      </c>
      <c r="B535" s="3">
        <v>2023</v>
      </c>
      <c r="C535" s="4" t="s">
        <v>59</v>
      </c>
      <c r="D535" s="4">
        <v>2</v>
      </c>
      <c r="E535" s="4" t="s">
        <v>2</v>
      </c>
      <c r="F535" s="4" t="s">
        <v>42</v>
      </c>
      <c r="G535" s="4" t="s">
        <v>35</v>
      </c>
      <c r="H535" s="4" t="s">
        <v>92</v>
      </c>
      <c r="I535" s="4" t="s">
        <v>86</v>
      </c>
      <c r="J535" s="5">
        <v>21</v>
      </c>
      <c r="K535" s="5">
        <v>94.52</v>
      </c>
      <c r="L535" s="5">
        <v>1984.92</v>
      </c>
      <c r="M535" s="5">
        <v>1230.6500000000001</v>
      </c>
      <c r="N535" s="5">
        <v>754.27</v>
      </c>
    </row>
    <row r="536" spans="1:14">
      <c r="A536" s="2">
        <v>45336.416666666657</v>
      </c>
      <c r="B536" s="3">
        <v>2024</v>
      </c>
      <c r="C536" s="4" t="s">
        <v>59</v>
      </c>
      <c r="D536" s="4">
        <v>2</v>
      </c>
      <c r="E536" s="4" t="s">
        <v>2</v>
      </c>
      <c r="F536" s="4" t="s">
        <v>43</v>
      </c>
      <c r="G536" s="4" t="s">
        <v>35</v>
      </c>
      <c r="H536" s="4" t="s">
        <v>70</v>
      </c>
      <c r="I536" s="4" t="s">
        <v>68</v>
      </c>
      <c r="J536" s="5">
        <v>7</v>
      </c>
      <c r="K536" s="5">
        <v>18.59</v>
      </c>
      <c r="L536" s="5">
        <v>130.13</v>
      </c>
      <c r="M536" s="5">
        <v>80.680000000000007</v>
      </c>
      <c r="N536" s="5">
        <v>49.45</v>
      </c>
    </row>
    <row r="537" spans="1:14">
      <c r="A537" s="2">
        <v>45705.416666666657</v>
      </c>
      <c r="B537" s="3">
        <v>2025</v>
      </c>
      <c r="C537" s="4" t="s">
        <v>59</v>
      </c>
      <c r="D537" s="4">
        <v>2</v>
      </c>
      <c r="E537" s="4" t="s">
        <v>2</v>
      </c>
      <c r="F537" s="4" t="s">
        <v>42</v>
      </c>
      <c r="G537" s="4" t="s">
        <v>38</v>
      </c>
      <c r="H537" s="4" t="s">
        <v>83</v>
      </c>
      <c r="I537" s="4" t="s">
        <v>63</v>
      </c>
      <c r="J537" s="5">
        <v>9</v>
      </c>
      <c r="K537" s="5">
        <v>321.41000000000003</v>
      </c>
      <c r="L537" s="5">
        <v>2892.69</v>
      </c>
      <c r="M537" s="5">
        <v>1793.47</v>
      </c>
      <c r="N537" s="5">
        <v>1099.22</v>
      </c>
    </row>
    <row r="538" spans="1:14">
      <c r="A538" s="2">
        <v>44625.416666666657</v>
      </c>
      <c r="B538" s="3">
        <v>2022</v>
      </c>
      <c r="C538" s="4" t="s">
        <v>59</v>
      </c>
      <c r="D538" s="4">
        <v>3</v>
      </c>
      <c r="E538" s="4" t="s">
        <v>13</v>
      </c>
      <c r="F538" s="4" t="s">
        <v>41</v>
      </c>
      <c r="G538" s="4" t="s">
        <v>39</v>
      </c>
      <c r="H538" s="4" t="s">
        <v>82</v>
      </c>
      <c r="I538" s="4" t="s">
        <v>65</v>
      </c>
      <c r="J538" s="5">
        <v>10</v>
      </c>
      <c r="K538" s="5">
        <v>6248.48</v>
      </c>
      <c r="L538" s="5">
        <v>62484.800000000003</v>
      </c>
      <c r="M538" s="5">
        <v>38740.58</v>
      </c>
      <c r="N538" s="5">
        <v>23744.22</v>
      </c>
    </row>
    <row r="539" spans="1:14">
      <c r="A539" s="2">
        <v>45012.416666666657</v>
      </c>
      <c r="B539" s="3">
        <v>2023</v>
      </c>
      <c r="C539" s="4" t="s">
        <v>59</v>
      </c>
      <c r="D539" s="4">
        <v>3</v>
      </c>
      <c r="E539" s="4" t="s">
        <v>13</v>
      </c>
      <c r="F539" s="4" t="s">
        <v>44</v>
      </c>
      <c r="G539" s="4" t="s">
        <v>35</v>
      </c>
      <c r="H539" s="4" t="s">
        <v>64</v>
      </c>
      <c r="I539" s="4" t="s">
        <v>65</v>
      </c>
      <c r="J539" s="5">
        <v>4</v>
      </c>
      <c r="K539" s="5">
        <v>92.76</v>
      </c>
      <c r="L539" s="5">
        <v>371.04</v>
      </c>
      <c r="M539" s="5">
        <v>230.04</v>
      </c>
      <c r="N539" s="5">
        <v>141</v>
      </c>
    </row>
    <row r="540" spans="1:14">
      <c r="A540" s="2">
        <v>45379.416666666657</v>
      </c>
      <c r="B540" s="3">
        <v>2024</v>
      </c>
      <c r="C540" s="4" t="s">
        <v>59</v>
      </c>
      <c r="D540" s="4">
        <v>3</v>
      </c>
      <c r="E540" s="4" t="s">
        <v>13</v>
      </c>
      <c r="F540" s="4" t="s">
        <v>44</v>
      </c>
      <c r="G540" s="4" t="s">
        <v>35</v>
      </c>
      <c r="H540" s="4" t="s">
        <v>90</v>
      </c>
      <c r="I540" s="4" t="s">
        <v>63</v>
      </c>
      <c r="J540" s="5">
        <v>20</v>
      </c>
      <c r="K540" s="5">
        <v>51.26</v>
      </c>
      <c r="L540" s="5">
        <v>1025.2</v>
      </c>
      <c r="M540" s="5">
        <v>635.62</v>
      </c>
      <c r="N540" s="5">
        <v>389.58</v>
      </c>
    </row>
    <row r="541" spans="1:14">
      <c r="A541" s="2">
        <v>45728.416666666657</v>
      </c>
      <c r="B541" s="3">
        <v>2025</v>
      </c>
      <c r="C541" s="4" t="s">
        <v>59</v>
      </c>
      <c r="D541" s="4">
        <v>3</v>
      </c>
      <c r="E541" s="4" t="s">
        <v>13</v>
      </c>
      <c r="F541" s="4" t="s">
        <v>40</v>
      </c>
      <c r="G541" s="4" t="s">
        <v>37</v>
      </c>
      <c r="H541" s="4" t="s">
        <v>62</v>
      </c>
      <c r="I541" s="4" t="s">
        <v>63</v>
      </c>
      <c r="J541" s="5">
        <v>20</v>
      </c>
      <c r="K541" s="5">
        <v>52.48</v>
      </c>
      <c r="L541" s="5">
        <v>1049.5999999999999</v>
      </c>
      <c r="M541" s="5">
        <v>650.75</v>
      </c>
      <c r="N541" s="5">
        <v>398.85</v>
      </c>
    </row>
    <row r="542" spans="1:14">
      <c r="A542" s="2">
        <v>44657.416666666657</v>
      </c>
      <c r="B542" s="3">
        <v>2022</v>
      </c>
      <c r="C542" s="4" t="s">
        <v>76</v>
      </c>
      <c r="D542" s="4">
        <v>4</v>
      </c>
      <c r="E542" s="4" t="s">
        <v>17</v>
      </c>
      <c r="F542" s="4" t="s">
        <v>44</v>
      </c>
      <c r="G542" s="4" t="s">
        <v>39</v>
      </c>
      <c r="H542" s="4" t="s">
        <v>79</v>
      </c>
      <c r="I542" s="4" t="s">
        <v>68</v>
      </c>
      <c r="J542" s="5">
        <v>13</v>
      </c>
      <c r="K542" s="5">
        <v>1407.54</v>
      </c>
      <c r="L542" s="5">
        <v>18298.02</v>
      </c>
      <c r="M542" s="5">
        <v>11344.77</v>
      </c>
      <c r="N542" s="5">
        <v>6953.25</v>
      </c>
    </row>
    <row r="543" spans="1:14">
      <c r="A543" s="2">
        <v>45019.416666666657</v>
      </c>
      <c r="B543" s="3">
        <v>2023</v>
      </c>
      <c r="C543" s="4" t="s">
        <v>76</v>
      </c>
      <c r="D543" s="4">
        <v>4</v>
      </c>
      <c r="E543" s="4" t="s">
        <v>17</v>
      </c>
      <c r="F543" s="4" t="s">
        <v>42</v>
      </c>
      <c r="G543" s="4" t="s">
        <v>39</v>
      </c>
      <c r="H543" s="4" t="s">
        <v>79</v>
      </c>
      <c r="I543" s="4" t="s">
        <v>86</v>
      </c>
      <c r="J543" s="5">
        <v>16</v>
      </c>
      <c r="K543" s="5">
        <v>2369.61</v>
      </c>
      <c r="L543" s="5">
        <v>37913.760000000002</v>
      </c>
      <c r="M543" s="5">
        <v>23506.53</v>
      </c>
      <c r="N543" s="5">
        <v>14407.23</v>
      </c>
    </row>
    <row r="544" spans="1:14">
      <c r="A544" s="2">
        <v>45405.416666666657</v>
      </c>
      <c r="B544" s="3">
        <v>2024</v>
      </c>
      <c r="C544" s="4" t="s">
        <v>76</v>
      </c>
      <c r="D544" s="4">
        <v>4</v>
      </c>
      <c r="E544" s="4" t="s">
        <v>17</v>
      </c>
      <c r="F544" s="4" t="s">
        <v>43</v>
      </c>
      <c r="G544" s="4" t="s">
        <v>37</v>
      </c>
      <c r="H544" s="4" t="s">
        <v>62</v>
      </c>
      <c r="I544" s="4" t="s">
        <v>63</v>
      </c>
      <c r="J544" s="5">
        <v>29</v>
      </c>
      <c r="K544" s="5">
        <v>485.46</v>
      </c>
      <c r="L544" s="5">
        <v>14078.34</v>
      </c>
      <c r="M544" s="5">
        <v>8728.57</v>
      </c>
      <c r="N544" s="5">
        <v>5349.77</v>
      </c>
    </row>
    <row r="545" spans="1:14">
      <c r="A545" s="2">
        <v>45775.416666666657</v>
      </c>
      <c r="B545" s="3">
        <v>2025</v>
      </c>
      <c r="C545" s="4" t="s">
        <v>76</v>
      </c>
      <c r="D545" s="4">
        <v>4</v>
      </c>
      <c r="E545" s="4" t="s">
        <v>17</v>
      </c>
      <c r="F545" s="4" t="s">
        <v>41</v>
      </c>
      <c r="G545" s="4" t="s">
        <v>37</v>
      </c>
      <c r="H545" s="4" t="s">
        <v>84</v>
      </c>
      <c r="I545" s="4" t="s">
        <v>68</v>
      </c>
      <c r="J545" s="5">
        <v>12</v>
      </c>
      <c r="K545" s="5">
        <v>90.99</v>
      </c>
      <c r="L545" s="5">
        <v>1091.8800000000001</v>
      </c>
      <c r="M545" s="5">
        <v>676.97</v>
      </c>
      <c r="N545" s="5">
        <v>414.91</v>
      </c>
    </row>
    <row r="546" spans="1:14">
      <c r="A546" s="2">
        <v>44686.416666666657</v>
      </c>
      <c r="B546" s="3">
        <v>2022</v>
      </c>
      <c r="C546" s="4" t="s">
        <v>76</v>
      </c>
      <c r="D546" s="4">
        <v>5</v>
      </c>
      <c r="E546" s="4" t="s">
        <v>18</v>
      </c>
      <c r="F546" s="4" t="s">
        <v>43</v>
      </c>
      <c r="G546" s="4" t="s">
        <v>35</v>
      </c>
      <c r="H546" s="4" t="s">
        <v>64</v>
      </c>
      <c r="I546" s="4" t="s">
        <v>65</v>
      </c>
      <c r="J546" s="5">
        <v>5</v>
      </c>
      <c r="K546" s="5">
        <v>47.03</v>
      </c>
      <c r="L546" s="5">
        <v>235.15</v>
      </c>
      <c r="M546" s="5">
        <v>145.79</v>
      </c>
      <c r="N546" s="5">
        <v>89.36</v>
      </c>
    </row>
    <row r="547" spans="1:14">
      <c r="A547" s="2">
        <v>45063.416666666657</v>
      </c>
      <c r="B547" s="3">
        <v>2023</v>
      </c>
      <c r="C547" s="4" t="s">
        <v>76</v>
      </c>
      <c r="D547" s="4">
        <v>5</v>
      </c>
      <c r="E547" s="4" t="s">
        <v>18</v>
      </c>
      <c r="F547" s="4" t="s">
        <v>43</v>
      </c>
      <c r="G547" s="4" t="s">
        <v>37</v>
      </c>
      <c r="H547" s="4" t="s">
        <v>84</v>
      </c>
      <c r="I547" s="4" t="s">
        <v>65</v>
      </c>
      <c r="J547" s="5">
        <v>8</v>
      </c>
      <c r="K547" s="5">
        <v>221.68</v>
      </c>
      <c r="L547" s="5">
        <v>1773.44</v>
      </c>
      <c r="M547" s="5">
        <v>1099.53</v>
      </c>
      <c r="N547" s="5">
        <v>673.91</v>
      </c>
    </row>
    <row r="548" spans="1:14">
      <c r="A548" s="2">
        <v>45419.416666666657</v>
      </c>
      <c r="B548" s="3">
        <v>2024</v>
      </c>
      <c r="C548" s="4" t="s">
        <v>76</v>
      </c>
      <c r="D548" s="4">
        <v>5</v>
      </c>
      <c r="E548" s="4" t="s">
        <v>18</v>
      </c>
      <c r="F548" s="4" t="s">
        <v>41</v>
      </c>
      <c r="G548" s="4" t="s">
        <v>36</v>
      </c>
      <c r="H548" s="4" t="s">
        <v>81</v>
      </c>
      <c r="I548" s="4" t="s">
        <v>71</v>
      </c>
      <c r="J548" s="5">
        <v>3</v>
      </c>
      <c r="K548" s="5">
        <v>1914.99</v>
      </c>
      <c r="L548" s="5">
        <v>5744.97</v>
      </c>
      <c r="M548" s="5">
        <v>3561.88</v>
      </c>
      <c r="N548" s="5">
        <v>2183.09</v>
      </c>
    </row>
    <row r="549" spans="1:14">
      <c r="A549" s="2">
        <v>45795.416666666657</v>
      </c>
      <c r="B549" s="3">
        <v>2025</v>
      </c>
      <c r="C549" s="4" t="s">
        <v>76</v>
      </c>
      <c r="D549" s="4">
        <v>5</v>
      </c>
      <c r="E549" s="4" t="s">
        <v>18</v>
      </c>
      <c r="F549" s="4" t="s">
        <v>40</v>
      </c>
      <c r="G549" s="4" t="s">
        <v>39</v>
      </c>
      <c r="H549" s="4" t="s">
        <v>60</v>
      </c>
      <c r="I549" s="4" t="s">
        <v>68</v>
      </c>
      <c r="J549" s="5">
        <v>17</v>
      </c>
      <c r="K549" s="5">
        <v>878.94</v>
      </c>
      <c r="L549" s="5">
        <v>14941.98</v>
      </c>
      <c r="M549" s="5">
        <v>9264.0300000000007</v>
      </c>
      <c r="N549" s="5">
        <v>5677.95</v>
      </c>
    </row>
    <row r="550" spans="1:14">
      <c r="A550" s="2">
        <v>44732.416666666657</v>
      </c>
      <c r="B550" s="3">
        <v>2022</v>
      </c>
      <c r="C550" s="4" t="s">
        <v>76</v>
      </c>
      <c r="D550" s="4">
        <v>6</v>
      </c>
      <c r="E550" s="4" t="s">
        <v>19</v>
      </c>
      <c r="F550" s="4" t="s">
        <v>41</v>
      </c>
      <c r="G550" s="4" t="s">
        <v>38</v>
      </c>
      <c r="H550" s="4" t="s">
        <v>72</v>
      </c>
      <c r="I550" s="4" t="s">
        <v>65</v>
      </c>
      <c r="J550" s="5">
        <v>16</v>
      </c>
      <c r="K550" s="5">
        <v>232.3</v>
      </c>
      <c r="L550" s="5">
        <v>3716.8</v>
      </c>
      <c r="M550" s="5">
        <v>2304.42</v>
      </c>
      <c r="N550" s="5">
        <v>1412.38</v>
      </c>
    </row>
    <row r="551" spans="1:14">
      <c r="A551" s="2">
        <v>45093.416666666657</v>
      </c>
      <c r="B551" s="3">
        <v>2023</v>
      </c>
      <c r="C551" s="4" t="s">
        <v>76</v>
      </c>
      <c r="D551" s="4">
        <v>6</v>
      </c>
      <c r="E551" s="4" t="s">
        <v>19</v>
      </c>
      <c r="F551" s="4" t="s">
        <v>40</v>
      </c>
      <c r="G551" s="4" t="s">
        <v>36</v>
      </c>
      <c r="H551" s="4" t="s">
        <v>75</v>
      </c>
      <c r="I551" s="4" t="s">
        <v>86</v>
      </c>
      <c r="J551" s="5">
        <v>17</v>
      </c>
      <c r="K551" s="5">
        <v>4196.09</v>
      </c>
      <c r="L551" s="5">
        <v>71333.53</v>
      </c>
      <c r="M551" s="5">
        <v>44226.79</v>
      </c>
      <c r="N551" s="5">
        <v>27106.74</v>
      </c>
    </row>
    <row r="552" spans="1:14">
      <c r="A552" s="2">
        <v>45464.416666666657</v>
      </c>
      <c r="B552" s="3">
        <v>2024</v>
      </c>
      <c r="C552" s="4" t="s">
        <v>76</v>
      </c>
      <c r="D552" s="4">
        <v>6</v>
      </c>
      <c r="E552" s="4" t="s">
        <v>19</v>
      </c>
      <c r="F552" s="4" t="s">
        <v>41</v>
      </c>
      <c r="G552" s="4" t="s">
        <v>38</v>
      </c>
      <c r="H552" s="4" t="s">
        <v>88</v>
      </c>
      <c r="I552" s="4" t="s">
        <v>68</v>
      </c>
      <c r="J552" s="5">
        <v>33</v>
      </c>
      <c r="K552" s="5">
        <v>254.83</v>
      </c>
      <c r="L552" s="5">
        <v>8409.39</v>
      </c>
      <c r="M552" s="5">
        <v>5213.82</v>
      </c>
      <c r="N552" s="5">
        <v>3195.57</v>
      </c>
    </row>
    <row r="553" spans="1:14">
      <c r="A553" s="2">
        <v>45828.416666666657</v>
      </c>
      <c r="B553" s="3">
        <v>2025</v>
      </c>
      <c r="C553" s="4" t="s">
        <v>76</v>
      </c>
      <c r="D553" s="4">
        <v>6</v>
      </c>
      <c r="E553" s="4" t="s">
        <v>19</v>
      </c>
      <c r="F553" s="4" t="s">
        <v>44</v>
      </c>
      <c r="G553" s="4" t="s">
        <v>38</v>
      </c>
      <c r="H553" s="4" t="s">
        <v>83</v>
      </c>
      <c r="I553" s="4" t="s">
        <v>86</v>
      </c>
      <c r="J553" s="5">
        <v>22</v>
      </c>
      <c r="K553" s="5">
        <v>385.46</v>
      </c>
      <c r="L553" s="5">
        <v>8480.1200000000008</v>
      </c>
      <c r="M553" s="5">
        <v>5257.67</v>
      </c>
      <c r="N553" s="5">
        <v>3222.45</v>
      </c>
    </row>
    <row r="554" spans="1:14">
      <c r="A554" s="2">
        <v>44761.416666666657</v>
      </c>
      <c r="B554" s="3">
        <v>2022</v>
      </c>
      <c r="C554" s="4" t="s">
        <v>80</v>
      </c>
      <c r="D554" s="4">
        <v>7</v>
      </c>
      <c r="E554" s="4" t="s">
        <v>21</v>
      </c>
      <c r="F554" s="4" t="s">
        <v>41</v>
      </c>
      <c r="G554" s="4" t="s">
        <v>39</v>
      </c>
      <c r="H554" s="4" t="s">
        <v>82</v>
      </c>
      <c r="I554" s="4" t="s">
        <v>68</v>
      </c>
      <c r="J554" s="5">
        <v>5</v>
      </c>
      <c r="K554" s="5">
        <v>2532.7199999999998</v>
      </c>
      <c r="L554" s="5">
        <v>12663.6</v>
      </c>
      <c r="M554" s="5">
        <v>7851.43</v>
      </c>
      <c r="N554" s="5">
        <v>4812.17</v>
      </c>
    </row>
    <row r="555" spans="1:14">
      <c r="A555" s="2">
        <v>45113.416666666657</v>
      </c>
      <c r="B555" s="3">
        <v>2023</v>
      </c>
      <c r="C555" s="4" t="s">
        <v>80</v>
      </c>
      <c r="D555" s="4">
        <v>7</v>
      </c>
      <c r="E555" s="4" t="s">
        <v>21</v>
      </c>
      <c r="F555" s="4" t="s">
        <v>40</v>
      </c>
      <c r="G555" s="4" t="s">
        <v>35</v>
      </c>
      <c r="H555" s="4" t="s">
        <v>90</v>
      </c>
      <c r="I555" s="4" t="s">
        <v>71</v>
      </c>
      <c r="J555" s="5">
        <v>25</v>
      </c>
      <c r="K555" s="5">
        <v>60.41</v>
      </c>
      <c r="L555" s="5">
        <v>1510.25</v>
      </c>
      <c r="M555" s="5">
        <v>936.36</v>
      </c>
      <c r="N555" s="5">
        <v>573.89</v>
      </c>
    </row>
    <row r="556" spans="1:14">
      <c r="A556" s="2">
        <v>45481.416666666657</v>
      </c>
      <c r="B556" s="3">
        <v>2024</v>
      </c>
      <c r="C556" s="4" t="s">
        <v>80</v>
      </c>
      <c r="D556" s="4">
        <v>7</v>
      </c>
      <c r="E556" s="4" t="s">
        <v>21</v>
      </c>
      <c r="F556" s="4" t="s">
        <v>43</v>
      </c>
      <c r="G556" s="4" t="s">
        <v>38</v>
      </c>
      <c r="H556" s="4" t="s">
        <v>88</v>
      </c>
      <c r="I556" s="4" t="s">
        <v>71</v>
      </c>
      <c r="J556" s="5">
        <v>17</v>
      </c>
      <c r="K556" s="5">
        <v>276.12</v>
      </c>
      <c r="L556" s="5">
        <v>4694.04</v>
      </c>
      <c r="M556" s="5">
        <v>2910.3</v>
      </c>
      <c r="N556" s="5">
        <v>1783.74</v>
      </c>
    </row>
    <row r="557" spans="1:14">
      <c r="A557" s="2">
        <v>45863.416666666657</v>
      </c>
      <c r="B557" s="3">
        <v>2025</v>
      </c>
      <c r="C557" s="4" t="s">
        <v>80</v>
      </c>
      <c r="D557" s="4">
        <v>7</v>
      </c>
      <c r="E557" s="4" t="s">
        <v>21</v>
      </c>
      <c r="F557" s="4" t="s">
        <v>44</v>
      </c>
      <c r="G557" s="4" t="s">
        <v>35</v>
      </c>
      <c r="H557" s="4" t="s">
        <v>69</v>
      </c>
      <c r="I557" s="4" t="s">
        <v>71</v>
      </c>
      <c r="J557" s="5">
        <v>32</v>
      </c>
      <c r="K557" s="5">
        <v>72.41</v>
      </c>
      <c r="L557" s="5">
        <v>2317.12</v>
      </c>
      <c r="M557" s="5">
        <v>1436.61</v>
      </c>
      <c r="N557" s="5">
        <v>880.51</v>
      </c>
    </row>
    <row r="558" spans="1:14">
      <c r="A558" s="2">
        <v>44798.416666666657</v>
      </c>
      <c r="B558" s="3">
        <v>2022</v>
      </c>
      <c r="C558" s="4" t="s">
        <v>80</v>
      </c>
      <c r="D558" s="4">
        <v>8</v>
      </c>
      <c r="E558" s="4" t="s">
        <v>22</v>
      </c>
      <c r="F558" s="4" t="s">
        <v>43</v>
      </c>
      <c r="G558" s="4" t="s">
        <v>39</v>
      </c>
      <c r="H558" s="4" t="s">
        <v>89</v>
      </c>
      <c r="I558" s="4" t="s">
        <v>61</v>
      </c>
      <c r="J558" s="5">
        <v>9</v>
      </c>
      <c r="K558" s="5">
        <v>624.29999999999995</v>
      </c>
      <c r="L558" s="5">
        <v>5618.7</v>
      </c>
      <c r="M558" s="5">
        <v>3483.59</v>
      </c>
      <c r="N558" s="5">
        <v>2135.11</v>
      </c>
    </row>
    <row r="559" spans="1:14">
      <c r="A559" s="2">
        <v>45165.416666666657</v>
      </c>
      <c r="B559" s="3">
        <v>2023</v>
      </c>
      <c r="C559" s="4" t="s">
        <v>80</v>
      </c>
      <c r="D559" s="4">
        <v>8</v>
      </c>
      <c r="E559" s="4" t="s">
        <v>22</v>
      </c>
      <c r="F559" s="4" t="s">
        <v>44</v>
      </c>
      <c r="G559" s="4" t="s">
        <v>35</v>
      </c>
      <c r="H559" s="4" t="s">
        <v>90</v>
      </c>
      <c r="I559" s="4" t="s">
        <v>61</v>
      </c>
      <c r="J559" s="5">
        <v>20</v>
      </c>
      <c r="K559" s="5">
        <v>128.71</v>
      </c>
      <c r="L559" s="5">
        <v>2574.1999999999998</v>
      </c>
      <c r="M559" s="5">
        <v>1596</v>
      </c>
      <c r="N559" s="5">
        <v>978.2</v>
      </c>
    </row>
    <row r="560" spans="1:14">
      <c r="A560" s="2">
        <v>45507.416666666657</v>
      </c>
      <c r="B560" s="3">
        <v>2024</v>
      </c>
      <c r="C560" s="4" t="s">
        <v>80</v>
      </c>
      <c r="D560" s="4">
        <v>8</v>
      </c>
      <c r="E560" s="4" t="s">
        <v>22</v>
      </c>
      <c r="F560" s="4" t="s">
        <v>44</v>
      </c>
      <c r="G560" s="4" t="s">
        <v>38</v>
      </c>
      <c r="H560" s="4" t="s">
        <v>88</v>
      </c>
      <c r="I560" s="4" t="s">
        <v>65</v>
      </c>
      <c r="J560" s="5">
        <v>27</v>
      </c>
      <c r="K560" s="5">
        <v>351.95</v>
      </c>
      <c r="L560" s="5">
        <v>9502.65</v>
      </c>
      <c r="M560" s="5">
        <v>5891.64</v>
      </c>
      <c r="N560" s="5">
        <v>3611.01</v>
      </c>
    </row>
    <row r="561" spans="1:14">
      <c r="A561" s="2">
        <v>45895.416666666657</v>
      </c>
      <c r="B561" s="3">
        <v>2025</v>
      </c>
      <c r="C561" s="4" t="s">
        <v>80</v>
      </c>
      <c r="D561" s="4">
        <v>8</v>
      </c>
      <c r="E561" s="4" t="s">
        <v>22</v>
      </c>
      <c r="F561" s="4" t="s">
        <v>43</v>
      </c>
      <c r="G561" s="4" t="s">
        <v>35</v>
      </c>
      <c r="H561" s="4" t="s">
        <v>70</v>
      </c>
      <c r="I561" s="4" t="s">
        <v>61</v>
      </c>
      <c r="J561" s="5">
        <v>19</v>
      </c>
      <c r="K561" s="5">
        <v>21.28</v>
      </c>
      <c r="L561" s="5">
        <v>404.32</v>
      </c>
      <c r="M561" s="5">
        <v>250.68</v>
      </c>
      <c r="N561" s="5">
        <v>153.63999999999999</v>
      </c>
    </row>
    <row r="562" spans="1:14">
      <c r="A562" s="2">
        <v>44828.416666666657</v>
      </c>
      <c r="B562" s="3">
        <v>2022</v>
      </c>
      <c r="C562" s="4" t="s">
        <v>80</v>
      </c>
      <c r="D562" s="4">
        <v>9</v>
      </c>
      <c r="E562" s="4" t="s">
        <v>23</v>
      </c>
      <c r="F562" s="4" t="s">
        <v>41</v>
      </c>
      <c r="G562" s="4" t="s">
        <v>36</v>
      </c>
      <c r="H562" s="4" t="s">
        <v>91</v>
      </c>
      <c r="I562" s="4" t="s">
        <v>86</v>
      </c>
      <c r="J562" s="5">
        <v>5</v>
      </c>
      <c r="K562" s="5">
        <v>461.81</v>
      </c>
      <c r="L562" s="5">
        <v>2309.0500000000002</v>
      </c>
      <c r="M562" s="5">
        <v>1431.61</v>
      </c>
      <c r="N562" s="5">
        <v>877.44</v>
      </c>
    </row>
    <row r="563" spans="1:14">
      <c r="A563" s="2">
        <v>45190.416666666657</v>
      </c>
      <c r="B563" s="3">
        <v>2023</v>
      </c>
      <c r="C563" s="4" t="s">
        <v>80</v>
      </c>
      <c r="D563" s="4">
        <v>9</v>
      </c>
      <c r="E563" s="4" t="s">
        <v>23</v>
      </c>
      <c r="F563" s="4" t="s">
        <v>42</v>
      </c>
      <c r="G563" s="4" t="s">
        <v>37</v>
      </c>
      <c r="H563" s="4" t="s">
        <v>87</v>
      </c>
      <c r="I563" s="4" t="s">
        <v>86</v>
      </c>
      <c r="J563" s="5">
        <v>21</v>
      </c>
      <c r="K563" s="5">
        <v>84</v>
      </c>
      <c r="L563" s="5">
        <v>1764</v>
      </c>
      <c r="M563" s="5">
        <v>1093.68</v>
      </c>
      <c r="N563" s="5">
        <v>670.32</v>
      </c>
    </row>
    <row r="564" spans="1:14">
      <c r="A564" s="2">
        <v>45547.416666666657</v>
      </c>
      <c r="B564" s="3">
        <v>2024</v>
      </c>
      <c r="C564" s="4" t="s">
        <v>80</v>
      </c>
      <c r="D564" s="4">
        <v>9</v>
      </c>
      <c r="E564" s="4" t="s">
        <v>23</v>
      </c>
      <c r="F564" s="4" t="s">
        <v>43</v>
      </c>
      <c r="G564" s="4" t="s">
        <v>36</v>
      </c>
      <c r="H564" s="4" t="s">
        <v>67</v>
      </c>
      <c r="I564" s="4" t="s">
        <v>86</v>
      </c>
      <c r="J564" s="5">
        <v>33</v>
      </c>
      <c r="K564" s="5">
        <v>4411.8999999999996</v>
      </c>
      <c r="L564" s="5">
        <v>145592.70000000001</v>
      </c>
      <c r="M564" s="5">
        <v>90267.47</v>
      </c>
      <c r="N564" s="5">
        <v>55325.23</v>
      </c>
    </row>
    <row r="565" spans="1:14">
      <c r="A565" s="2">
        <v>45921.416666666657</v>
      </c>
      <c r="B565" s="3">
        <v>2025</v>
      </c>
      <c r="C565" s="4" t="s">
        <v>80</v>
      </c>
      <c r="D565" s="4">
        <v>9</v>
      </c>
      <c r="E565" s="4" t="s">
        <v>23</v>
      </c>
      <c r="F565" s="4" t="s">
        <v>41</v>
      </c>
      <c r="G565" s="4" t="s">
        <v>36</v>
      </c>
      <c r="H565" s="4" t="s">
        <v>67</v>
      </c>
      <c r="I565" s="4" t="s">
        <v>68</v>
      </c>
      <c r="J565" s="5">
        <v>17</v>
      </c>
      <c r="K565" s="5">
        <v>1433.31</v>
      </c>
      <c r="L565" s="5">
        <v>24366.27</v>
      </c>
      <c r="M565" s="5">
        <v>15107.09</v>
      </c>
      <c r="N565" s="5">
        <v>9259.18</v>
      </c>
    </row>
    <row r="566" spans="1:14">
      <c r="A566" s="2">
        <v>44848.416666666657</v>
      </c>
      <c r="B566" s="3">
        <v>2022</v>
      </c>
      <c r="C566" s="4" t="s">
        <v>85</v>
      </c>
      <c r="D566" s="4">
        <v>10</v>
      </c>
      <c r="E566" s="4" t="s">
        <v>29</v>
      </c>
      <c r="F566" s="4" t="s">
        <v>43</v>
      </c>
      <c r="G566" s="4" t="s">
        <v>38</v>
      </c>
      <c r="H566" s="4" t="s">
        <v>77</v>
      </c>
      <c r="I566" s="4" t="s">
        <v>68</v>
      </c>
      <c r="J566" s="5">
        <v>4</v>
      </c>
      <c r="K566" s="5">
        <v>312.06</v>
      </c>
      <c r="L566" s="5">
        <v>1248.24</v>
      </c>
      <c r="M566" s="5">
        <v>773.91</v>
      </c>
      <c r="N566" s="5">
        <v>474.33</v>
      </c>
    </row>
    <row r="567" spans="1:14">
      <c r="A567" s="2">
        <v>45219.416666666657</v>
      </c>
      <c r="B567" s="3">
        <v>2023</v>
      </c>
      <c r="C567" s="4" t="s">
        <v>85</v>
      </c>
      <c r="D567" s="4">
        <v>10</v>
      </c>
      <c r="E567" s="4" t="s">
        <v>29</v>
      </c>
      <c r="F567" s="4" t="s">
        <v>41</v>
      </c>
      <c r="G567" s="4" t="s">
        <v>37</v>
      </c>
      <c r="H567" s="4" t="s">
        <v>62</v>
      </c>
      <c r="I567" s="4" t="s">
        <v>61</v>
      </c>
      <c r="J567" s="5">
        <v>12</v>
      </c>
      <c r="K567" s="5">
        <v>477.66</v>
      </c>
      <c r="L567" s="5">
        <v>5731.92</v>
      </c>
      <c r="M567" s="5">
        <v>3553.79</v>
      </c>
      <c r="N567" s="5">
        <v>2178.13</v>
      </c>
    </row>
    <row r="568" spans="1:14">
      <c r="A568" s="2">
        <v>45583.416666666657</v>
      </c>
      <c r="B568" s="3">
        <v>2024</v>
      </c>
      <c r="C568" s="4" t="s">
        <v>85</v>
      </c>
      <c r="D568" s="4">
        <v>10</v>
      </c>
      <c r="E568" s="4" t="s">
        <v>29</v>
      </c>
      <c r="F568" s="4" t="s">
        <v>42</v>
      </c>
      <c r="G568" s="4" t="s">
        <v>38</v>
      </c>
      <c r="H568" s="4" t="s">
        <v>74</v>
      </c>
      <c r="I568" s="4" t="s">
        <v>61</v>
      </c>
      <c r="J568" s="5">
        <v>18</v>
      </c>
      <c r="K568" s="5">
        <v>229.66</v>
      </c>
      <c r="L568" s="5">
        <v>4133.88</v>
      </c>
      <c r="M568" s="5">
        <v>2563.0100000000002</v>
      </c>
      <c r="N568" s="5">
        <v>1570.87</v>
      </c>
    </row>
    <row r="569" spans="1:14">
      <c r="A569" s="2">
        <v>45935.416666666657</v>
      </c>
      <c r="B569" s="3">
        <v>2025</v>
      </c>
      <c r="C569" s="4" t="s">
        <v>85</v>
      </c>
      <c r="D569" s="4">
        <v>10</v>
      </c>
      <c r="E569" s="4" t="s">
        <v>29</v>
      </c>
      <c r="F569" s="4" t="s">
        <v>44</v>
      </c>
      <c r="G569" s="4" t="s">
        <v>37</v>
      </c>
      <c r="H569" s="4" t="s">
        <v>87</v>
      </c>
      <c r="I569" s="4" t="s">
        <v>61</v>
      </c>
      <c r="J569" s="5">
        <v>26</v>
      </c>
      <c r="K569" s="5">
        <v>437.99</v>
      </c>
      <c r="L569" s="5">
        <v>11387.74</v>
      </c>
      <c r="M569" s="5">
        <v>7060.4</v>
      </c>
      <c r="N569" s="5">
        <v>4327.34</v>
      </c>
    </row>
    <row r="570" spans="1:14">
      <c r="A570" s="2">
        <v>44874.416666666657</v>
      </c>
      <c r="B570" s="3">
        <v>2022</v>
      </c>
      <c r="C570" s="4" t="s">
        <v>85</v>
      </c>
      <c r="D570" s="4">
        <v>11</v>
      </c>
      <c r="E570" s="4" t="s">
        <v>30</v>
      </c>
      <c r="F570" s="4" t="s">
        <v>41</v>
      </c>
      <c r="G570" s="4" t="s">
        <v>38</v>
      </c>
      <c r="H570" s="4" t="s">
        <v>72</v>
      </c>
      <c r="I570" s="4" t="s">
        <v>65</v>
      </c>
      <c r="J570" s="5">
        <v>28</v>
      </c>
      <c r="K570" s="5">
        <v>256.14</v>
      </c>
      <c r="L570" s="5">
        <v>7171.92</v>
      </c>
      <c r="M570" s="5">
        <v>4446.59</v>
      </c>
      <c r="N570" s="5">
        <v>2725.33</v>
      </c>
    </row>
    <row r="571" spans="1:14">
      <c r="A571" s="2">
        <v>45236.416666666657</v>
      </c>
      <c r="B571" s="3">
        <v>2023</v>
      </c>
      <c r="C571" s="4" t="s">
        <v>85</v>
      </c>
      <c r="D571" s="4">
        <v>11</v>
      </c>
      <c r="E571" s="4" t="s">
        <v>30</v>
      </c>
      <c r="F571" s="4" t="s">
        <v>41</v>
      </c>
      <c r="G571" s="4" t="s">
        <v>36</v>
      </c>
      <c r="H571" s="4" t="s">
        <v>75</v>
      </c>
      <c r="I571" s="4" t="s">
        <v>71</v>
      </c>
      <c r="J571" s="5">
        <v>27</v>
      </c>
      <c r="K571" s="5">
        <v>4351.8900000000003</v>
      </c>
      <c r="L571" s="5">
        <v>117501.03</v>
      </c>
      <c r="M571" s="5">
        <v>72850.64</v>
      </c>
      <c r="N571" s="5">
        <v>44650.39</v>
      </c>
    </row>
    <row r="572" spans="1:14">
      <c r="A572" s="2">
        <v>45620.416666666657</v>
      </c>
      <c r="B572" s="3">
        <v>2024</v>
      </c>
      <c r="C572" s="4" t="s">
        <v>85</v>
      </c>
      <c r="D572" s="4">
        <v>11</v>
      </c>
      <c r="E572" s="4" t="s">
        <v>30</v>
      </c>
      <c r="F572" s="4" t="s">
        <v>40</v>
      </c>
      <c r="G572" s="4" t="s">
        <v>35</v>
      </c>
      <c r="H572" s="4" t="s">
        <v>69</v>
      </c>
      <c r="I572" s="4" t="s">
        <v>71</v>
      </c>
      <c r="J572" s="5">
        <v>37</v>
      </c>
      <c r="K572" s="5">
        <v>53.03</v>
      </c>
      <c r="L572" s="5">
        <v>1962.11</v>
      </c>
      <c r="M572" s="5">
        <v>1216.51</v>
      </c>
      <c r="N572" s="5">
        <v>745.6</v>
      </c>
    </row>
    <row r="573" spans="1:14">
      <c r="A573" s="2">
        <v>45969.416666666657</v>
      </c>
      <c r="B573" s="3">
        <v>2025</v>
      </c>
      <c r="C573" s="4" t="s">
        <v>85</v>
      </c>
      <c r="D573" s="4">
        <v>11</v>
      </c>
      <c r="E573" s="4" t="s">
        <v>30</v>
      </c>
      <c r="F573" s="4" t="s">
        <v>44</v>
      </c>
      <c r="G573" s="4" t="s">
        <v>39</v>
      </c>
      <c r="H573" s="4" t="s">
        <v>79</v>
      </c>
      <c r="I573" s="4" t="s">
        <v>65</v>
      </c>
      <c r="J573" s="5">
        <v>20</v>
      </c>
      <c r="K573" s="5">
        <v>3155.55</v>
      </c>
      <c r="L573" s="5">
        <v>63111</v>
      </c>
      <c r="M573" s="5">
        <v>39128.82</v>
      </c>
      <c r="N573" s="5">
        <v>23982.18</v>
      </c>
    </row>
    <row r="574" spans="1:14">
      <c r="A574" s="2">
        <v>44919.416666666657</v>
      </c>
      <c r="B574" s="3">
        <v>2022</v>
      </c>
      <c r="C574" s="4" t="s">
        <v>85</v>
      </c>
      <c r="D574" s="4">
        <v>12</v>
      </c>
      <c r="E574" s="4" t="s">
        <v>31</v>
      </c>
      <c r="F574" s="4" t="s">
        <v>40</v>
      </c>
      <c r="G574" s="4" t="s">
        <v>38</v>
      </c>
      <c r="H574" s="4" t="s">
        <v>77</v>
      </c>
      <c r="I574" s="4" t="s">
        <v>71</v>
      </c>
      <c r="J574" s="5">
        <v>3</v>
      </c>
      <c r="K574" s="5">
        <v>237.07</v>
      </c>
      <c r="L574" s="5">
        <v>711.21</v>
      </c>
      <c r="M574" s="5">
        <v>440.95</v>
      </c>
      <c r="N574" s="5">
        <v>270.26</v>
      </c>
    </row>
    <row r="575" spans="1:14">
      <c r="A575" s="2">
        <v>45269.416666666657</v>
      </c>
      <c r="B575" s="3">
        <v>2023</v>
      </c>
      <c r="C575" s="4" t="s">
        <v>85</v>
      </c>
      <c r="D575" s="4">
        <v>12</v>
      </c>
      <c r="E575" s="4" t="s">
        <v>31</v>
      </c>
      <c r="F575" s="4" t="s">
        <v>40</v>
      </c>
      <c r="G575" s="4" t="s">
        <v>36</v>
      </c>
      <c r="H575" s="4" t="s">
        <v>91</v>
      </c>
      <c r="I575" s="4" t="s">
        <v>86</v>
      </c>
      <c r="J575" s="5">
        <v>28</v>
      </c>
      <c r="K575" s="5">
        <v>462.49</v>
      </c>
      <c r="L575" s="5">
        <v>12949.72</v>
      </c>
      <c r="M575" s="5">
        <v>8028.83</v>
      </c>
      <c r="N575" s="5">
        <v>4920.8900000000003</v>
      </c>
    </row>
    <row r="576" spans="1:14">
      <c r="A576" s="2">
        <v>45641.416666666657</v>
      </c>
      <c r="B576" s="3">
        <v>2024</v>
      </c>
      <c r="C576" s="4" t="s">
        <v>85</v>
      </c>
      <c r="D576" s="4">
        <v>12</v>
      </c>
      <c r="E576" s="4" t="s">
        <v>31</v>
      </c>
      <c r="F576" s="4" t="s">
        <v>41</v>
      </c>
      <c r="G576" s="4" t="s">
        <v>39</v>
      </c>
      <c r="H576" s="4" t="s">
        <v>60</v>
      </c>
      <c r="I576" s="4" t="s">
        <v>65</v>
      </c>
      <c r="J576" s="5">
        <v>29</v>
      </c>
      <c r="K576" s="5">
        <v>5084.58</v>
      </c>
      <c r="L576" s="5">
        <v>147452.82</v>
      </c>
      <c r="M576" s="5">
        <v>91420.75</v>
      </c>
      <c r="N576" s="5">
        <v>56032.07</v>
      </c>
    </row>
    <row r="577" spans="1:14">
      <c r="A577" s="2">
        <v>45995.416666666657</v>
      </c>
      <c r="B577" s="3">
        <v>2025</v>
      </c>
      <c r="C577" s="4" t="s">
        <v>85</v>
      </c>
      <c r="D577" s="4">
        <v>12</v>
      </c>
      <c r="E577" s="4" t="s">
        <v>31</v>
      </c>
      <c r="F577" s="4" t="s">
        <v>40</v>
      </c>
      <c r="G577" s="4" t="s">
        <v>36</v>
      </c>
      <c r="H577" s="4" t="s">
        <v>67</v>
      </c>
      <c r="I577" s="4" t="s">
        <v>63</v>
      </c>
      <c r="J577" s="5">
        <v>24</v>
      </c>
      <c r="K577" s="5">
        <v>4067.12</v>
      </c>
      <c r="L577" s="5">
        <v>97610.880000000005</v>
      </c>
      <c r="M577" s="5">
        <v>60518.75</v>
      </c>
      <c r="N577" s="5">
        <v>37092.129999999997</v>
      </c>
    </row>
    <row r="578" spans="1:14">
      <c r="A578" s="2">
        <v>44579.416666666657</v>
      </c>
      <c r="B578" s="3">
        <v>2022</v>
      </c>
      <c r="C578" s="4" t="s">
        <v>59</v>
      </c>
      <c r="D578" s="4">
        <v>1</v>
      </c>
      <c r="E578" s="4" t="s">
        <v>1</v>
      </c>
      <c r="F578" s="4" t="s">
        <v>44</v>
      </c>
      <c r="G578" s="4" t="s">
        <v>37</v>
      </c>
      <c r="H578" s="4" t="s">
        <v>66</v>
      </c>
      <c r="I578" s="4" t="s">
        <v>63</v>
      </c>
      <c r="J578" s="5">
        <v>5</v>
      </c>
      <c r="K578" s="5">
        <v>89.72</v>
      </c>
      <c r="L578" s="5">
        <v>448.6</v>
      </c>
      <c r="M578" s="5">
        <v>278.13</v>
      </c>
      <c r="N578" s="5">
        <v>170.47</v>
      </c>
    </row>
    <row r="579" spans="1:14">
      <c r="A579" s="2">
        <v>44935.416666666657</v>
      </c>
      <c r="B579" s="3">
        <v>2023</v>
      </c>
      <c r="C579" s="4" t="s">
        <v>59</v>
      </c>
      <c r="D579" s="4">
        <v>1</v>
      </c>
      <c r="E579" s="4" t="s">
        <v>1</v>
      </c>
      <c r="F579" s="4" t="s">
        <v>42</v>
      </c>
      <c r="G579" s="4" t="s">
        <v>38</v>
      </c>
      <c r="H579" s="4" t="s">
        <v>74</v>
      </c>
      <c r="I579" s="4" t="s">
        <v>61</v>
      </c>
      <c r="J579" s="5">
        <v>11</v>
      </c>
      <c r="K579" s="5">
        <v>117.05</v>
      </c>
      <c r="L579" s="5">
        <v>1287.55</v>
      </c>
      <c r="M579" s="5">
        <v>798.28</v>
      </c>
      <c r="N579" s="5">
        <v>489.27</v>
      </c>
    </row>
    <row r="580" spans="1:14">
      <c r="A580" s="2">
        <v>45318.416666666657</v>
      </c>
      <c r="B580" s="3">
        <v>2024</v>
      </c>
      <c r="C580" s="4" t="s">
        <v>59</v>
      </c>
      <c r="D580" s="4">
        <v>1</v>
      </c>
      <c r="E580" s="4" t="s">
        <v>1</v>
      </c>
      <c r="F580" s="4" t="s">
        <v>42</v>
      </c>
      <c r="G580" s="4" t="s">
        <v>38</v>
      </c>
      <c r="H580" s="4" t="s">
        <v>72</v>
      </c>
      <c r="I580" s="4" t="s">
        <v>86</v>
      </c>
      <c r="J580" s="5">
        <v>33</v>
      </c>
      <c r="K580" s="5">
        <v>368.94</v>
      </c>
      <c r="L580" s="5">
        <v>12175.02</v>
      </c>
      <c r="M580" s="5">
        <v>7548.51</v>
      </c>
      <c r="N580" s="5">
        <v>4626.51</v>
      </c>
    </row>
    <row r="581" spans="1:14">
      <c r="A581" s="2">
        <v>45684.416666666657</v>
      </c>
      <c r="B581" s="3">
        <v>2025</v>
      </c>
      <c r="C581" s="4" t="s">
        <v>59</v>
      </c>
      <c r="D581" s="4">
        <v>1</v>
      </c>
      <c r="E581" s="4" t="s">
        <v>1</v>
      </c>
      <c r="F581" s="4" t="s">
        <v>43</v>
      </c>
      <c r="G581" s="4" t="s">
        <v>37</v>
      </c>
      <c r="H581" s="4" t="s">
        <v>87</v>
      </c>
      <c r="I581" s="4" t="s">
        <v>61</v>
      </c>
      <c r="J581" s="5">
        <v>7</v>
      </c>
      <c r="K581" s="5">
        <v>320.22000000000003</v>
      </c>
      <c r="L581" s="5">
        <v>2241.54</v>
      </c>
      <c r="M581" s="5">
        <v>1389.75</v>
      </c>
      <c r="N581" s="5">
        <v>851.79</v>
      </c>
    </row>
    <row r="582" spans="1:14">
      <c r="A582" s="2">
        <v>44595.416666666657</v>
      </c>
      <c r="B582" s="3">
        <v>2022</v>
      </c>
      <c r="C582" s="4" t="s">
        <v>59</v>
      </c>
      <c r="D582" s="4">
        <v>2</v>
      </c>
      <c r="E582" s="4" t="s">
        <v>2</v>
      </c>
      <c r="F582" s="4" t="s">
        <v>44</v>
      </c>
      <c r="G582" s="4" t="s">
        <v>37</v>
      </c>
      <c r="H582" s="4" t="s">
        <v>62</v>
      </c>
      <c r="I582" s="4" t="s">
        <v>68</v>
      </c>
      <c r="J582" s="5">
        <v>12</v>
      </c>
      <c r="K582" s="5">
        <v>57.18</v>
      </c>
      <c r="L582" s="5">
        <v>686.16</v>
      </c>
      <c r="M582" s="5">
        <v>425.42</v>
      </c>
      <c r="N582" s="5">
        <v>260.74</v>
      </c>
    </row>
    <row r="583" spans="1:14">
      <c r="A583" s="2">
        <v>44972.416666666657</v>
      </c>
      <c r="B583" s="3">
        <v>2023</v>
      </c>
      <c r="C583" s="4" t="s">
        <v>59</v>
      </c>
      <c r="D583" s="4">
        <v>2</v>
      </c>
      <c r="E583" s="4" t="s">
        <v>2</v>
      </c>
      <c r="F583" s="4" t="s">
        <v>44</v>
      </c>
      <c r="G583" s="4" t="s">
        <v>37</v>
      </c>
      <c r="H583" s="4" t="s">
        <v>62</v>
      </c>
      <c r="I583" s="4" t="s">
        <v>68</v>
      </c>
      <c r="J583" s="5">
        <v>9</v>
      </c>
      <c r="K583" s="5">
        <v>395.2</v>
      </c>
      <c r="L583" s="5">
        <v>3556.8</v>
      </c>
      <c r="M583" s="5">
        <v>2205.2199999999998</v>
      </c>
      <c r="N583" s="5">
        <v>1351.58</v>
      </c>
    </row>
    <row r="584" spans="1:14">
      <c r="A584" s="2">
        <v>45345.416666666657</v>
      </c>
      <c r="B584" s="3">
        <v>2024</v>
      </c>
      <c r="C584" s="4" t="s">
        <v>59</v>
      </c>
      <c r="D584" s="4">
        <v>2</v>
      </c>
      <c r="E584" s="4" t="s">
        <v>2</v>
      </c>
      <c r="F584" s="4" t="s">
        <v>41</v>
      </c>
      <c r="G584" s="4" t="s">
        <v>39</v>
      </c>
      <c r="H584" s="4" t="s">
        <v>79</v>
      </c>
      <c r="I584" s="4" t="s">
        <v>63</v>
      </c>
      <c r="J584" s="5">
        <v>3</v>
      </c>
      <c r="K584" s="5">
        <v>2317.4299999999998</v>
      </c>
      <c r="L584" s="5">
        <v>6952.29</v>
      </c>
      <c r="M584" s="5">
        <v>4310.42</v>
      </c>
      <c r="N584" s="5">
        <v>2641.87</v>
      </c>
    </row>
    <row r="585" spans="1:14">
      <c r="A585" s="2">
        <v>45698.416666666657</v>
      </c>
      <c r="B585" s="3">
        <v>2025</v>
      </c>
      <c r="C585" s="4" t="s">
        <v>59</v>
      </c>
      <c r="D585" s="4">
        <v>2</v>
      </c>
      <c r="E585" s="4" t="s">
        <v>2</v>
      </c>
      <c r="F585" s="4" t="s">
        <v>42</v>
      </c>
      <c r="G585" s="4" t="s">
        <v>39</v>
      </c>
      <c r="H585" s="4" t="s">
        <v>82</v>
      </c>
      <c r="I585" s="4" t="s">
        <v>86</v>
      </c>
      <c r="J585" s="5">
        <v>10</v>
      </c>
      <c r="K585" s="5">
        <v>2613.64</v>
      </c>
      <c r="L585" s="5">
        <v>26136.400000000001</v>
      </c>
      <c r="M585" s="5">
        <v>16204.57</v>
      </c>
      <c r="N585" s="5">
        <v>9931.83</v>
      </c>
    </row>
    <row r="586" spans="1:14">
      <c r="A586" s="2">
        <v>44645.416666666657</v>
      </c>
      <c r="B586" s="3">
        <v>2022</v>
      </c>
      <c r="C586" s="4" t="s">
        <v>59</v>
      </c>
      <c r="D586" s="4">
        <v>3</v>
      </c>
      <c r="E586" s="4" t="s">
        <v>13</v>
      </c>
      <c r="F586" s="4" t="s">
        <v>41</v>
      </c>
      <c r="G586" s="4" t="s">
        <v>36</v>
      </c>
      <c r="H586" s="4" t="s">
        <v>81</v>
      </c>
      <c r="I586" s="4" t="s">
        <v>71</v>
      </c>
      <c r="J586" s="5">
        <v>4</v>
      </c>
      <c r="K586" s="5">
        <v>3552.7</v>
      </c>
      <c r="L586" s="5">
        <v>14210.8</v>
      </c>
      <c r="M586" s="5">
        <v>8810.7000000000007</v>
      </c>
      <c r="N586" s="5">
        <v>5400.1</v>
      </c>
    </row>
    <row r="587" spans="1:14">
      <c r="A587" s="2">
        <v>45011.416666666657</v>
      </c>
      <c r="B587" s="3">
        <v>2023</v>
      </c>
      <c r="C587" s="4" t="s">
        <v>59</v>
      </c>
      <c r="D587" s="4">
        <v>3</v>
      </c>
      <c r="E587" s="4" t="s">
        <v>13</v>
      </c>
      <c r="F587" s="4" t="s">
        <v>41</v>
      </c>
      <c r="G587" s="4" t="s">
        <v>38</v>
      </c>
      <c r="H587" s="4" t="s">
        <v>77</v>
      </c>
      <c r="I587" s="4" t="s">
        <v>61</v>
      </c>
      <c r="J587" s="5">
        <v>5</v>
      </c>
      <c r="K587" s="5">
        <v>167.9</v>
      </c>
      <c r="L587" s="5">
        <v>839.5</v>
      </c>
      <c r="M587" s="5">
        <v>520.49</v>
      </c>
      <c r="N587" s="5">
        <v>319.01</v>
      </c>
    </row>
    <row r="588" spans="1:14">
      <c r="A588" s="2">
        <v>45359.416666666657</v>
      </c>
      <c r="B588" s="3">
        <v>2024</v>
      </c>
      <c r="C588" s="4" t="s">
        <v>59</v>
      </c>
      <c r="D588" s="4">
        <v>3</v>
      </c>
      <c r="E588" s="4" t="s">
        <v>13</v>
      </c>
      <c r="F588" s="4" t="s">
        <v>44</v>
      </c>
      <c r="G588" s="4" t="s">
        <v>35</v>
      </c>
      <c r="H588" s="4" t="s">
        <v>69</v>
      </c>
      <c r="I588" s="4" t="s">
        <v>65</v>
      </c>
      <c r="J588" s="5">
        <v>4</v>
      </c>
      <c r="K588" s="5">
        <v>125.24</v>
      </c>
      <c r="L588" s="5">
        <v>500.96</v>
      </c>
      <c r="M588" s="5">
        <v>310.60000000000002</v>
      </c>
      <c r="N588" s="5">
        <v>190.36</v>
      </c>
    </row>
    <row r="589" spans="1:14">
      <c r="A589" s="2">
        <v>45720.416666666657</v>
      </c>
      <c r="B589" s="3">
        <v>2025</v>
      </c>
      <c r="C589" s="4" t="s">
        <v>59</v>
      </c>
      <c r="D589" s="4">
        <v>3</v>
      </c>
      <c r="E589" s="4" t="s">
        <v>13</v>
      </c>
      <c r="F589" s="4" t="s">
        <v>42</v>
      </c>
      <c r="G589" s="4" t="s">
        <v>35</v>
      </c>
      <c r="H589" s="4" t="s">
        <v>69</v>
      </c>
      <c r="I589" s="4" t="s">
        <v>86</v>
      </c>
      <c r="J589" s="5">
        <v>9</v>
      </c>
      <c r="K589" s="5">
        <v>60.8</v>
      </c>
      <c r="L589" s="5">
        <v>547.20000000000005</v>
      </c>
      <c r="M589" s="5">
        <v>339.26</v>
      </c>
      <c r="N589" s="5">
        <v>207.94</v>
      </c>
    </row>
    <row r="590" spans="1:14">
      <c r="A590" s="2">
        <v>44672.416666666657</v>
      </c>
      <c r="B590" s="3">
        <v>2022</v>
      </c>
      <c r="C590" s="4" t="s">
        <v>76</v>
      </c>
      <c r="D590" s="4">
        <v>4</v>
      </c>
      <c r="E590" s="4" t="s">
        <v>17</v>
      </c>
      <c r="F590" s="4" t="s">
        <v>41</v>
      </c>
      <c r="G590" s="4" t="s">
        <v>35</v>
      </c>
      <c r="H590" s="4" t="s">
        <v>92</v>
      </c>
      <c r="I590" s="4" t="s">
        <v>86</v>
      </c>
      <c r="J590" s="5">
        <v>13</v>
      </c>
      <c r="K590" s="5">
        <v>15.65</v>
      </c>
      <c r="L590" s="5">
        <v>203.45</v>
      </c>
      <c r="M590" s="5">
        <v>126.14</v>
      </c>
      <c r="N590" s="5">
        <v>77.31</v>
      </c>
    </row>
    <row r="591" spans="1:14">
      <c r="A591" s="2">
        <v>45036.416666666657</v>
      </c>
      <c r="B591" s="3">
        <v>2023</v>
      </c>
      <c r="C591" s="4" t="s">
        <v>76</v>
      </c>
      <c r="D591" s="4">
        <v>4</v>
      </c>
      <c r="E591" s="4" t="s">
        <v>17</v>
      </c>
      <c r="F591" s="4" t="s">
        <v>43</v>
      </c>
      <c r="G591" s="4" t="s">
        <v>35</v>
      </c>
      <c r="H591" s="4" t="s">
        <v>64</v>
      </c>
      <c r="I591" s="4" t="s">
        <v>65</v>
      </c>
      <c r="J591" s="5">
        <v>10</v>
      </c>
      <c r="K591" s="5">
        <v>62.7</v>
      </c>
      <c r="L591" s="5">
        <v>627</v>
      </c>
      <c r="M591" s="5">
        <v>388.74</v>
      </c>
      <c r="N591" s="5">
        <v>238.26</v>
      </c>
    </row>
    <row r="592" spans="1:14">
      <c r="A592" s="2">
        <v>45390.416666666657</v>
      </c>
      <c r="B592" s="3">
        <v>2024</v>
      </c>
      <c r="C592" s="4" t="s">
        <v>76</v>
      </c>
      <c r="D592" s="4">
        <v>4</v>
      </c>
      <c r="E592" s="4" t="s">
        <v>17</v>
      </c>
      <c r="F592" s="4" t="s">
        <v>42</v>
      </c>
      <c r="G592" s="4" t="s">
        <v>36</v>
      </c>
      <c r="H592" s="4" t="s">
        <v>91</v>
      </c>
      <c r="I592" s="4" t="s">
        <v>86</v>
      </c>
      <c r="J592" s="5">
        <v>4</v>
      </c>
      <c r="K592" s="5">
        <v>1628.09</v>
      </c>
      <c r="L592" s="5">
        <v>6512.36</v>
      </c>
      <c r="M592" s="5">
        <v>4037.66</v>
      </c>
      <c r="N592" s="5">
        <v>2474.6999999999998</v>
      </c>
    </row>
    <row r="593" spans="1:14">
      <c r="A593" s="2">
        <v>45748.416666666657</v>
      </c>
      <c r="B593" s="3">
        <v>2025</v>
      </c>
      <c r="C593" s="4" t="s">
        <v>76</v>
      </c>
      <c r="D593" s="4">
        <v>4</v>
      </c>
      <c r="E593" s="4" t="s">
        <v>17</v>
      </c>
      <c r="F593" s="4" t="s">
        <v>42</v>
      </c>
      <c r="G593" s="4" t="s">
        <v>38</v>
      </c>
      <c r="H593" s="4" t="s">
        <v>77</v>
      </c>
      <c r="I593" s="4" t="s">
        <v>68</v>
      </c>
      <c r="J593" s="5">
        <v>26</v>
      </c>
      <c r="K593" s="5">
        <v>67.81</v>
      </c>
      <c r="L593" s="5">
        <v>1763.06</v>
      </c>
      <c r="M593" s="5">
        <v>1093.0999999999999</v>
      </c>
      <c r="N593" s="5">
        <v>669.96</v>
      </c>
    </row>
    <row r="594" spans="1:14">
      <c r="A594" s="2">
        <v>44702.416666666657</v>
      </c>
      <c r="B594" s="3">
        <v>2022</v>
      </c>
      <c r="C594" s="4" t="s">
        <v>76</v>
      </c>
      <c r="D594" s="4">
        <v>5</v>
      </c>
      <c r="E594" s="4" t="s">
        <v>18</v>
      </c>
      <c r="F594" s="4" t="s">
        <v>40</v>
      </c>
      <c r="G594" s="4" t="s">
        <v>39</v>
      </c>
      <c r="H594" s="4" t="s">
        <v>78</v>
      </c>
      <c r="I594" s="4" t="s">
        <v>68</v>
      </c>
      <c r="J594" s="5">
        <v>3</v>
      </c>
      <c r="K594" s="5">
        <v>2731.15</v>
      </c>
      <c r="L594" s="5">
        <v>8193.4500000000007</v>
      </c>
      <c r="M594" s="5">
        <v>5079.9399999999996</v>
      </c>
      <c r="N594" s="5">
        <v>3113.51</v>
      </c>
    </row>
    <row r="595" spans="1:14">
      <c r="A595" s="2">
        <v>45047.416666666657</v>
      </c>
      <c r="B595" s="3">
        <v>2023</v>
      </c>
      <c r="C595" s="4" t="s">
        <v>76</v>
      </c>
      <c r="D595" s="4">
        <v>5</v>
      </c>
      <c r="E595" s="4" t="s">
        <v>18</v>
      </c>
      <c r="F595" s="4" t="s">
        <v>41</v>
      </c>
      <c r="G595" s="4" t="s">
        <v>36</v>
      </c>
      <c r="H595" s="4" t="s">
        <v>91</v>
      </c>
      <c r="I595" s="4" t="s">
        <v>65</v>
      </c>
      <c r="J595" s="5">
        <v>15</v>
      </c>
      <c r="K595" s="5">
        <v>1022.79</v>
      </c>
      <c r="L595" s="5">
        <v>15341.85</v>
      </c>
      <c r="M595" s="5">
        <v>9511.9500000000007</v>
      </c>
      <c r="N595" s="5">
        <v>5829.9</v>
      </c>
    </row>
    <row r="596" spans="1:14">
      <c r="A596" s="2">
        <v>45414.416666666657</v>
      </c>
      <c r="B596" s="3">
        <v>2024</v>
      </c>
      <c r="C596" s="4" t="s">
        <v>76</v>
      </c>
      <c r="D596" s="4">
        <v>5</v>
      </c>
      <c r="E596" s="4" t="s">
        <v>18</v>
      </c>
      <c r="F596" s="4" t="s">
        <v>43</v>
      </c>
      <c r="G596" s="4" t="s">
        <v>39</v>
      </c>
      <c r="H596" s="4" t="s">
        <v>82</v>
      </c>
      <c r="I596" s="4" t="s">
        <v>68</v>
      </c>
      <c r="J596" s="5">
        <v>17</v>
      </c>
      <c r="K596" s="5">
        <v>1398.46</v>
      </c>
      <c r="L596" s="5">
        <v>23773.82</v>
      </c>
      <c r="M596" s="5">
        <v>14739.77</v>
      </c>
      <c r="N596" s="5">
        <v>9034.0499999999993</v>
      </c>
    </row>
    <row r="597" spans="1:14">
      <c r="A597" s="2">
        <v>45784.416666666657</v>
      </c>
      <c r="B597" s="3">
        <v>2025</v>
      </c>
      <c r="C597" s="4" t="s">
        <v>76</v>
      </c>
      <c r="D597" s="4">
        <v>5</v>
      </c>
      <c r="E597" s="4" t="s">
        <v>18</v>
      </c>
      <c r="F597" s="4" t="s">
        <v>40</v>
      </c>
      <c r="G597" s="4" t="s">
        <v>35</v>
      </c>
      <c r="H597" s="4" t="s">
        <v>90</v>
      </c>
      <c r="I597" s="4" t="s">
        <v>71</v>
      </c>
      <c r="J597" s="5">
        <v>4</v>
      </c>
      <c r="K597" s="5">
        <v>118.8</v>
      </c>
      <c r="L597" s="5">
        <v>475.2</v>
      </c>
      <c r="M597" s="5">
        <v>294.62</v>
      </c>
      <c r="N597" s="5">
        <v>180.58</v>
      </c>
    </row>
    <row r="598" spans="1:14">
      <c r="A598" s="2">
        <v>44715.416666666657</v>
      </c>
      <c r="B598" s="3">
        <v>2022</v>
      </c>
      <c r="C598" s="4" t="s">
        <v>76</v>
      </c>
      <c r="D598" s="4">
        <v>6</v>
      </c>
      <c r="E598" s="4" t="s">
        <v>19</v>
      </c>
      <c r="F598" s="4" t="s">
        <v>42</v>
      </c>
      <c r="G598" s="4" t="s">
        <v>39</v>
      </c>
      <c r="H598" s="4" t="s">
        <v>89</v>
      </c>
      <c r="I598" s="4" t="s">
        <v>68</v>
      </c>
      <c r="J598" s="5">
        <v>15</v>
      </c>
      <c r="K598" s="5">
        <v>2457.16</v>
      </c>
      <c r="L598" s="5">
        <v>36857.4</v>
      </c>
      <c r="M598" s="5">
        <v>22851.59</v>
      </c>
      <c r="N598" s="5">
        <v>14005.81</v>
      </c>
    </row>
    <row r="599" spans="1:14">
      <c r="A599" s="2">
        <v>45098.416666666657</v>
      </c>
      <c r="B599" s="3">
        <v>2023</v>
      </c>
      <c r="C599" s="4" t="s">
        <v>76</v>
      </c>
      <c r="D599" s="4">
        <v>6</v>
      </c>
      <c r="E599" s="4" t="s">
        <v>19</v>
      </c>
      <c r="F599" s="4" t="s">
        <v>43</v>
      </c>
      <c r="G599" s="4" t="s">
        <v>39</v>
      </c>
      <c r="H599" s="4" t="s">
        <v>79</v>
      </c>
      <c r="I599" s="4" t="s">
        <v>65</v>
      </c>
      <c r="J599" s="5">
        <v>2</v>
      </c>
      <c r="K599" s="5">
        <v>5080.4799999999996</v>
      </c>
      <c r="L599" s="5">
        <v>10160.959999999999</v>
      </c>
      <c r="M599" s="5">
        <v>6299.8</v>
      </c>
      <c r="N599" s="5">
        <v>3861.16</v>
      </c>
    </row>
    <row r="600" spans="1:14">
      <c r="A600" s="2">
        <v>45447.416666666657</v>
      </c>
      <c r="B600" s="3">
        <v>2024</v>
      </c>
      <c r="C600" s="4" t="s">
        <v>76</v>
      </c>
      <c r="D600" s="4">
        <v>6</v>
      </c>
      <c r="E600" s="4" t="s">
        <v>19</v>
      </c>
      <c r="F600" s="4" t="s">
        <v>42</v>
      </c>
      <c r="G600" s="4" t="s">
        <v>35</v>
      </c>
      <c r="H600" s="4" t="s">
        <v>70</v>
      </c>
      <c r="I600" s="4" t="s">
        <v>86</v>
      </c>
      <c r="J600" s="5">
        <v>28</v>
      </c>
      <c r="K600" s="5">
        <v>81.64</v>
      </c>
      <c r="L600" s="5">
        <v>2285.92</v>
      </c>
      <c r="M600" s="5">
        <v>1417.27</v>
      </c>
      <c r="N600" s="5">
        <v>868.65</v>
      </c>
    </row>
    <row r="601" spans="1:14">
      <c r="A601" s="2">
        <v>45818.416666666657</v>
      </c>
      <c r="B601" s="3">
        <v>2025</v>
      </c>
      <c r="C601" s="4" t="s">
        <v>76</v>
      </c>
      <c r="D601" s="4">
        <v>6</v>
      </c>
      <c r="E601" s="4" t="s">
        <v>19</v>
      </c>
      <c r="F601" s="4" t="s">
        <v>44</v>
      </c>
      <c r="G601" s="4" t="s">
        <v>35</v>
      </c>
      <c r="H601" s="4" t="s">
        <v>90</v>
      </c>
      <c r="I601" s="4" t="s">
        <v>61</v>
      </c>
      <c r="J601" s="5">
        <v>17</v>
      </c>
      <c r="K601" s="5">
        <v>34.979999999999997</v>
      </c>
      <c r="L601" s="5">
        <v>594.66</v>
      </c>
      <c r="M601" s="5">
        <v>368.69</v>
      </c>
      <c r="N601" s="5">
        <v>225.97</v>
      </c>
    </row>
    <row r="602" spans="1:14">
      <c r="A602" s="2">
        <v>44762.416666666657</v>
      </c>
      <c r="B602" s="3">
        <v>2022</v>
      </c>
      <c r="C602" s="4" t="s">
        <v>80</v>
      </c>
      <c r="D602" s="4">
        <v>7</v>
      </c>
      <c r="E602" s="4" t="s">
        <v>21</v>
      </c>
      <c r="F602" s="4" t="s">
        <v>41</v>
      </c>
      <c r="G602" s="4" t="s">
        <v>37</v>
      </c>
      <c r="H602" s="4" t="s">
        <v>62</v>
      </c>
      <c r="I602" s="4" t="s">
        <v>65</v>
      </c>
      <c r="J602" s="5">
        <v>7</v>
      </c>
      <c r="K602" s="5">
        <v>86.38</v>
      </c>
      <c r="L602" s="5">
        <v>604.66</v>
      </c>
      <c r="M602" s="5">
        <v>374.89</v>
      </c>
      <c r="N602" s="5">
        <v>229.77</v>
      </c>
    </row>
    <row r="603" spans="1:14">
      <c r="A603" s="2">
        <v>45125.416666666657</v>
      </c>
      <c r="B603" s="3">
        <v>2023</v>
      </c>
      <c r="C603" s="4" t="s">
        <v>80</v>
      </c>
      <c r="D603" s="4">
        <v>7</v>
      </c>
      <c r="E603" s="4" t="s">
        <v>21</v>
      </c>
      <c r="F603" s="4" t="s">
        <v>40</v>
      </c>
      <c r="G603" s="4" t="s">
        <v>37</v>
      </c>
      <c r="H603" s="4" t="s">
        <v>87</v>
      </c>
      <c r="I603" s="4" t="s">
        <v>86</v>
      </c>
      <c r="J603" s="5">
        <v>4</v>
      </c>
      <c r="K603" s="5">
        <v>62.79</v>
      </c>
      <c r="L603" s="5">
        <v>251.16</v>
      </c>
      <c r="M603" s="5">
        <v>155.72</v>
      </c>
      <c r="N603" s="5">
        <v>95.44</v>
      </c>
    </row>
    <row r="604" spans="1:14">
      <c r="A604" s="2">
        <v>45477.416666666657</v>
      </c>
      <c r="B604" s="3">
        <v>2024</v>
      </c>
      <c r="C604" s="4" t="s">
        <v>80</v>
      </c>
      <c r="D604" s="4">
        <v>7</v>
      </c>
      <c r="E604" s="4" t="s">
        <v>21</v>
      </c>
      <c r="F604" s="4" t="s">
        <v>44</v>
      </c>
      <c r="G604" s="4" t="s">
        <v>35</v>
      </c>
      <c r="H604" s="4" t="s">
        <v>69</v>
      </c>
      <c r="I604" s="4" t="s">
        <v>65</v>
      </c>
      <c r="J604" s="5">
        <v>36</v>
      </c>
      <c r="K604" s="5">
        <v>101.84</v>
      </c>
      <c r="L604" s="5">
        <v>3666.24</v>
      </c>
      <c r="M604" s="5">
        <v>2273.0700000000002</v>
      </c>
      <c r="N604" s="5">
        <v>1393.17</v>
      </c>
    </row>
    <row r="605" spans="1:14">
      <c r="A605" s="2">
        <v>45866.416666666657</v>
      </c>
      <c r="B605" s="3">
        <v>2025</v>
      </c>
      <c r="C605" s="4" t="s">
        <v>80</v>
      </c>
      <c r="D605" s="4">
        <v>7</v>
      </c>
      <c r="E605" s="4" t="s">
        <v>21</v>
      </c>
      <c r="F605" s="4" t="s">
        <v>44</v>
      </c>
      <c r="G605" s="4" t="s">
        <v>37</v>
      </c>
      <c r="H605" s="4" t="s">
        <v>87</v>
      </c>
      <c r="I605" s="4" t="s">
        <v>71</v>
      </c>
      <c r="J605" s="5">
        <v>4</v>
      </c>
      <c r="K605" s="5">
        <v>89.98</v>
      </c>
      <c r="L605" s="5">
        <v>359.92</v>
      </c>
      <c r="M605" s="5">
        <v>223.15</v>
      </c>
      <c r="N605" s="5">
        <v>136.77000000000001</v>
      </c>
    </row>
    <row r="606" spans="1:14">
      <c r="A606" s="2">
        <v>44787.416666666657</v>
      </c>
      <c r="B606" s="3">
        <v>2022</v>
      </c>
      <c r="C606" s="4" t="s">
        <v>80</v>
      </c>
      <c r="D606" s="4">
        <v>8</v>
      </c>
      <c r="E606" s="4" t="s">
        <v>22</v>
      </c>
      <c r="F606" s="4" t="s">
        <v>43</v>
      </c>
      <c r="G606" s="4" t="s">
        <v>38</v>
      </c>
      <c r="H606" s="4" t="s">
        <v>72</v>
      </c>
      <c r="I606" s="4" t="s">
        <v>86</v>
      </c>
      <c r="J606" s="5">
        <v>4</v>
      </c>
      <c r="K606" s="5">
        <v>82.07</v>
      </c>
      <c r="L606" s="5">
        <v>328.28</v>
      </c>
      <c r="M606" s="5">
        <v>203.53</v>
      </c>
      <c r="N606" s="5">
        <v>124.75</v>
      </c>
    </row>
    <row r="607" spans="1:14">
      <c r="A607" s="2">
        <v>45162.416666666657</v>
      </c>
      <c r="B607" s="3">
        <v>2023</v>
      </c>
      <c r="C607" s="4" t="s">
        <v>80</v>
      </c>
      <c r="D607" s="4">
        <v>8</v>
      </c>
      <c r="E607" s="4" t="s">
        <v>22</v>
      </c>
      <c r="F607" s="4" t="s">
        <v>40</v>
      </c>
      <c r="G607" s="4" t="s">
        <v>39</v>
      </c>
      <c r="H607" s="4" t="s">
        <v>89</v>
      </c>
      <c r="I607" s="4" t="s">
        <v>68</v>
      </c>
      <c r="J607" s="5">
        <v>24</v>
      </c>
      <c r="K607" s="5">
        <v>4811.3999999999996</v>
      </c>
      <c r="L607" s="5">
        <v>115473.60000000001</v>
      </c>
      <c r="M607" s="5">
        <v>71593.63</v>
      </c>
      <c r="N607" s="5">
        <v>43879.97</v>
      </c>
    </row>
    <row r="608" spans="1:14">
      <c r="A608" s="2">
        <v>45513.416666666657</v>
      </c>
      <c r="B608" s="3">
        <v>2024</v>
      </c>
      <c r="C608" s="4" t="s">
        <v>80</v>
      </c>
      <c r="D608" s="4">
        <v>8</v>
      </c>
      <c r="E608" s="4" t="s">
        <v>22</v>
      </c>
      <c r="F608" s="4" t="s">
        <v>43</v>
      </c>
      <c r="G608" s="4" t="s">
        <v>38</v>
      </c>
      <c r="H608" s="4" t="s">
        <v>72</v>
      </c>
      <c r="I608" s="4" t="s">
        <v>63</v>
      </c>
      <c r="J608" s="5">
        <v>4</v>
      </c>
      <c r="K608" s="5">
        <v>196.29</v>
      </c>
      <c r="L608" s="5">
        <v>785.16</v>
      </c>
      <c r="M608" s="5">
        <v>486.8</v>
      </c>
      <c r="N608" s="5">
        <v>298.36</v>
      </c>
    </row>
    <row r="609" spans="1:14">
      <c r="A609" s="2">
        <v>45886.416666666657</v>
      </c>
      <c r="B609" s="3">
        <v>2025</v>
      </c>
      <c r="C609" s="4" t="s">
        <v>80</v>
      </c>
      <c r="D609" s="4">
        <v>8</v>
      </c>
      <c r="E609" s="4" t="s">
        <v>22</v>
      </c>
      <c r="F609" s="4" t="s">
        <v>43</v>
      </c>
      <c r="G609" s="4" t="s">
        <v>39</v>
      </c>
      <c r="H609" s="4" t="s">
        <v>89</v>
      </c>
      <c r="I609" s="4" t="s">
        <v>86</v>
      </c>
      <c r="J609" s="5">
        <v>4</v>
      </c>
      <c r="K609" s="5">
        <v>469.25</v>
      </c>
      <c r="L609" s="5">
        <v>1877</v>
      </c>
      <c r="M609" s="5">
        <v>1163.74</v>
      </c>
      <c r="N609" s="5">
        <v>713.26</v>
      </c>
    </row>
    <row r="610" spans="1:14">
      <c r="A610" s="2">
        <v>44814.416666666657</v>
      </c>
      <c r="B610" s="3">
        <v>2022</v>
      </c>
      <c r="C610" s="4" t="s">
        <v>80</v>
      </c>
      <c r="D610" s="4">
        <v>9</v>
      </c>
      <c r="E610" s="4" t="s">
        <v>23</v>
      </c>
      <c r="F610" s="4" t="s">
        <v>42</v>
      </c>
      <c r="G610" s="4" t="s">
        <v>39</v>
      </c>
      <c r="H610" s="4" t="s">
        <v>60</v>
      </c>
      <c r="I610" s="4" t="s">
        <v>71</v>
      </c>
      <c r="J610" s="5">
        <v>6</v>
      </c>
      <c r="K610" s="5">
        <v>3991.99</v>
      </c>
      <c r="L610" s="5">
        <v>23951.94</v>
      </c>
      <c r="M610" s="5">
        <v>14850.2</v>
      </c>
      <c r="N610" s="5">
        <v>9101.74</v>
      </c>
    </row>
    <row r="611" spans="1:14">
      <c r="A611" s="2">
        <v>45191.416666666657</v>
      </c>
      <c r="B611" s="3">
        <v>2023</v>
      </c>
      <c r="C611" s="4" t="s">
        <v>80</v>
      </c>
      <c r="D611" s="4">
        <v>9</v>
      </c>
      <c r="E611" s="4" t="s">
        <v>23</v>
      </c>
      <c r="F611" s="4" t="s">
        <v>44</v>
      </c>
      <c r="G611" s="4" t="s">
        <v>36</v>
      </c>
      <c r="H611" s="4" t="s">
        <v>67</v>
      </c>
      <c r="I611" s="4" t="s">
        <v>86</v>
      </c>
      <c r="J611" s="5">
        <v>3</v>
      </c>
      <c r="K611" s="5">
        <v>584.89</v>
      </c>
      <c r="L611" s="5">
        <v>1754.67</v>
      </c>
      <c r="M611" s="5">
        <v>1087.9000000000001</v>
      </c>
      <c r="N611" s="5">
        <v>666.77</v>
      </c>
    </row>
    <row r="612" spans="1:14">
      <c r="A612" s="2">
        <v>45546.416666666657</v>
      </c>
      <c r="B612" s="3">
        <v>2024</v>
      </c>
      <c r="C612" s="4" t="s">
        <v>80</v>
      </c>
      <c r="D612" s="4">
        <v>9</v>
      </c>
      <c r="E612" s="4" t="s">
        <v>23</v>
      </c>
      <c r="F612" s="4" t="s">
        <v>42</v>
      </c>
      <c r="G612" s="4" t="s">
        <v>35</v>
      </c>
      <c r="H612" s="4" t="s">
        <v>69</v>
      </c>
      <c r="I612" s="4" t="s">
        <v>63</v>
      </c>
      <c r="J612" s="5">
        <v>36</v>
      </c>
      <c r="K612" s="5">
        <v>90.22</v>
      </c>
      <c r="L612" s="5">
        <v>3247.92</v>
      </c>
      <c r="M612" s="5">
        <v>2013.71</v>
      </c>
      <c r="N612" s="5">
        <v>1234.21</v>
      </c>
    </row>
    <row r="613" spans="1:14">
      <c r="A613" s="2">
        <v>45903.416666666657</v>
      </c>
      <c r="B613" s="3">
        <v>2025</v>
      </c>
      <c r="C613" s="4" t="s">
        <v>80</v>
      </c>
      <c r="D613" s="4">
        <v>9</v>
      </c>
      <c r="E613" s="4" t="s">
        <v>23</v>
      </c>
      <c r="F613" s="4" t="s">
        <v>43</v>
      </c>
      <c r="G613" s="4" t="s">
        <v>36</v>
      </c>
      <c r="H613" s="4" t="s">
        <v>73</v>
      </c>
      <c r="I613" s="4" t="s">
        <v>61</v>
      </c>
      <c r="J613" s="5">
        <v>27</v>
      </c>
      <c r="K613" s="5">
        <v>4608.7299999999996</v>
      </c>
      <c r="L613" s="5">
        <v>124435.71</v>
      </c>
      <c r="M613" s="5">
        <v>77150.14</v>
      </c>
      <c r="N613" s="5">
        <v>47285.57</v>
      </c>
    </row>
    <row r="614" spans="1:14">
      <c r="A614" s="2">
        <v>44842.416666666657</v>
      </c>
      <c r="B614" s="3">
        <v>2022</v>
      </c>
      <c r="C614" s="4" t="s">
        <v>85</v>
      </c>
      <c r="D614" s="4">
        <v>10</v>
      </c>
      <c r="E614" s="4" t="s">
        <v>29</v>
      </c>
      <c r="F614" s="4" t="s">
        <v>43</v>
      </c>
      <c r="G614" s="4" t="s">
        <v>35</v>
      </c>
      <c r="H614" s="4" t="s">
        <v>69</v>
      </c>
      <c r="I614" s="4" t="s">
        <v>71</v>
      </c>
      <c r="J614" s="5">
        <v>22</v>
      </c>
      <c r="K614" s="5">
        <v>71</v>
      </c>
      <c r="L614" s="5">
        <v>1562</v>
      </c>
      <c r="M614" s="5">
        <v>968.44</v>
      </c>
      <c r="N614" s="5">
        <v>593.55999999999995</v>
      </c>
    </row>
    <row r="615" spans="1:14">
      <c r="A615" s="2">
        <v>45201.416666666657</v>
      </c>
      <c r="B615" s="3">
        <v>2023</v>
      </c>
      <c r="C615" s="4" t="s">
        <v>85</v>
      </c>
      <c r="D615" s="4">
        <v>10</v>
      </c>
      <c r="E615" s="4" t="s">
        <v>29</v>
      </c>
      <c r="F615" s="4" t="s">
        <v>40</v>
      </c>
      <c r="G615" s="4" t="s">
        <v>35</v>
      </c>
      <c r="H615" s="4" t="s">
        <v>92</v>
      </c>
      <c r="I615" s="4" t="s">
        <v>65</v>
      </c>
      <c r="J615" s="5">
        <v>29</v>
      </c>
      <c r="K615" s="5">
        <v>110.33</v>
      </c>
      <c r="L615" s="5">
        <v>3199.57</v>
      </c>
      <c r="M615" s="5">
        <v>1983.73</v>
      </c>
      <c r="N615" s="5">
        <v>1215.8399999999999</v>
      </c>
    </row>
    <row r="616" spans="1:14">
      <c r="A616" s="2">
        <v>45588.416666666657</v>
      </c>
      <c r="B616" s="3">
        <v>2024</v>
      </c>
      <c r="C616" s="4" t="s">
        <v>85</v>
      </c>
      <c r="D616" s="4">
        <v>10</v>
      </c>
      <c r="E616" s="4" t="s">
        <v>29</v>
      </c>
      <c r="F616" s="4" t="s">
        <v>44</v>
      </c>
      <c r="G616" s="4" t="s">
        <v>35</v>
      </c>
      <c r="H616" s="4" t="s">
        <v>90</v>
      </c>
      <c r="I616" s="4" t="s">
        <v>63</v>
      </c>
      <c r="J616" s="5">
        <v>43</v>
      </c>
      <c r="K616" s="5">
        <v>109.49</v>
      </c>
      <c r="L616" s="5">
        <v>4708.07</v>
      </c>
      <c r="M616" s="5">
        <v>2919</v>
      </c>
      <c r="N616" s="5">
        <v>1789.07</v>
      </c>
    </row>
    <row r="617" spans="1:14">
      <c r="A617" s="2">
        <v>45952.416666666657</v>
      </c>
      <c r="B617" s="3">
        <v>2025</v>
      </c>
      <c r="C617" s="4" t="s">
        <v>85</v>
      </c>
      <c r="D617" s="4">
        <v>10</v>
      </c>
      <c r="E617" s="4" t="s">
        <v>29</v>
      </c>
      <c r="F617" s="4" t="s">
        <v>40</v>
      </c>
      <c r="G617" s="4" t="s">
        <v>39</v>
      </c>
      <c r="H617" s="4" t="s">
        <v>78</v>
      </c>
      <c r="I617" s="4" t="s">
        <v>71</v>
      </c>
      <c r="J617" s="5">
        <v>34</v>
      </c>
      <c r="K617" s="5">
        <v>778.5</v>
      </c>
      <c r="L617" s="5">
        <v>26469</v>
      </c>
      <c r="M617" s="5">
        <v>16410.78</v>
      </c>
      <c r="N617" s="5">
        <v>10058.219999999999</v>
      </c>
    </row>
    <row r="618" spans="1:14">
      <c r="A618" s="2">
        <v>44887.416666666657</v>
      </c>
      <c r="B618" s="3">
        <v>2022</v>
      </c>
      <c r="C618" s="4" t="s">
        <v>85</v>
      </c>
      <c r="D618" s="4">
        <v>11</v>
      </c>
      <c r="E618" s="4" t="s">
        <v>30</v>
      </c>
      <c r="F618" s="4" t="s">
        <v>43</v>
      </c>
      <c r="G618" s="4" t="s">
        <v>35</v>
      </c>
      <c r="H618" s="4" t="s">
        <v>92</v>
      </c>
      <c r="I618" s="4" t="s">
        <v>68</v>
      </c>
      <c r="J618" s="5">
        <v>28</v>
      </c>
      <c r="K618" s="5">
        <v>83.38</v>
      </c>
      <c r="L618" s="5">
        <v>2334.64</v>
      </c>
      <c r="M618" s="5">
        <v>1447.48</v>
      </c>
      <c r="N618" s="5">
        <v>887.16</v>
      </c>
    </row>
    <row r="619" spans="1:14">
      <c r="A619" s="2">
        <v>45237.416666666657</v>
      </c>
      <c r="B619" s="3">
        <v>2023</v>
      </c>
      <c r="C619" s="4" t="s">
        <v>85</v>
      </c>
      <c r="D619" s="4">
        <v>11</v>
      </c>
      <c r="E619" s="4" t="s">
        <v>30</v>
      </c>
      <c r="F619" s="4" t="s">
        <v>43</v>
      </c>
      <c r="G619" s="4" t="s">
        <v>39</v>
      </c>
      <c r="H619" s="4" t="s">
        <v>78</v>
      </c>
      <c r="I619" s="4" t="s">
        <v>86</v>
      </c>
      <c r="J619" s="5">
        <v>29</v>
      </c>
      <c r="K619" s="5">
        <v>5443.71</v>
      </c>
      <c r="L619" s="5">
        <v>157867.59</v>
      </c>
      <c r="M619" s="5">
        <v>97877.91</v>
      </c>
      <c r="N619" s="5">
        <v>59989.68</v>
      </c>
    </row>
    <row r="620" spans="1:14">
      <c r="A620" s="2">
        <v>45601.416666666657</v>
      </c>
      <c r="B620" s="3">
        <v>2024</v>
      </c>
      <c r="C620" s="4" t="s">
        <v>85</v>
      </c>
      <c r="D620" s="4">
        <v>11</v>
      </c>
      <c r="E620" s="4" t="s">
        <v>30</v>
      </c>
      <c r="F620" s="4" t="s">
        <v>43</v>
      </c>
      <c r="G620" s="4" t="s">
        <v>38</v>
      </c>
      <c r="H620" s="4" t="s">
        <v>72</v>
      </c>
      <c r="I620" s="4" t="s">
        <v>71</v>
      </c>
      <c r="J620" s="5">
        <v>7</v>
      </c>
      <c r="K620" s="5">
        <v>44.7</v>
      </c>
      <c r="L620" s="5">
        <v>312.89999999999998</v>
      </c>
      <c r="M620" s="5">
        <v>194</v>
      </c>
      <c r="N620" s="5">
        <v>118.9</v>
      </c>
    </row>
    <row r="621" spans="1:14">
      <c r="A621" s="2">
        <v>45982.416666666657</v>
      </c>
      <c r="B621" s="3">
        <v>2025</v>
      </c>
      <c r="C621" s="4" t="s">
        <v>85</v>
      </c>
      <c r="D621" s="4">
        <v>11</v>
      </c>
      <c r="E621" s="4" t="s">
        <v>30</v>
      </c>
      <c r="F621" s="4" t="s">
        <v>41</v>
      </c>
      <c r="G621" s="4" t="s">
        <v>37</v>
      </c>
      <c r="H621" s="4" t="s">
        <v>87</v>
      </c>
      <c r="I621" s="4" t="s">
        <v>86</v>
      </c>
      <c r="J621" s="5">
        <v>19</v>
      </c>
      <c r="K621" s="5">
        <v>130.12</v>
      </c>
      <c r="L621" s="5">
        <v>2472.2800000000002</v>
      </c>
      <c r="M621" s="5">
        <v>1532.81</v>
      </c>
      <c r="N621" s="5">
        <v>939.47</v>
      </c>
    </row>
    <row r="622" spans="1:14">
      <c r="A622" s="2">
        <v>44906.416666666657</v>
      </c>
      <c r="B622" s="3">
        <v>2022</v>
      </c>
      <c r="C622" s="4" t="s">
        <v>85</v>
      </c>
      <c r="D622" s="4">
        <v>12</v>
      </c>
      <c r="E622" s="4" t="s">
        <v>31</v>
      </c>
      <c r="F622" s="4" t="s">
        <v>43</v>
      </c>
      <c r="G622" s="4" t="s">
        <v>36</v>
      </c>
      <c r="H622" s="4" t="s">
        <v>91</v>
      </c>
      <c r="I622" s="4" t="s">
        <v>71</v>
      </c>
      <c r="J622" s="5">
        <v>21</v>
      </c>
      <c r="K622" s="5">
        <v>710.46</v>
      </c>
      <c r="L622" s="5">
        <v>14919.66</v>
      </c>
      <c r="M622" s="5">
        <v>9250.19</v>
      </c>
      <c r="N622" s="5">
        <v>5669.47</v>
      </c>
    </row>
    <row r="623" spans="1:14">
      <c r="A623" s="2">
        <v>45275.416666666657</v>
      </c>
      <c r="B623" s="3">
        <v>2023</v>
      </c>
      <c r="C623" s="4" t="s">
        <v>85</v>
      </c>
      <c r="D623" s="4">
        <v>12</v>
      </c>
      <c r="E623" s="4" t="s">
        <v>31</v>
      </c>
      <c r="F623" s="4" t="s">
        <v>41</v>
      </c>
      <c r="G623" s="4" t="s">
        <v>35</v>
      </c>
      <c r="H623" s="4" t="s">
        <v>90</v>
      </c>
      <c r="I623" s="4" t="s">
        <v>71</v>
      </c>
      <c r="J623" s="5">
        <v>17</v>
      </c>
      <c r="K623" s="5">
        <v>62.07</v>
      </c>
      <c r="L623" s="5">
        <v>1055.19</v>
      </c>
      <c r="M623" s="5">
        <v>654.22</v>
      </c>
      <c r="N623" s="5">
        <v>400.97</v>
      </c>
    </row>
    <row r="624" spans="1:14">
      <c r="A624" s="2">
        <v>45634.416666666657</v>
      </c>
      <c r="B624" s="3">
        <v>2024</v>
      </c>
      <c r="C624" s="4" t="s">
        <v>85</v>
      </c>
      <c r="D624" s="4">
        <v>12</v>
      </c>
      <c r="E624" s="4" t="s">
        <v>31</v>
      </c>
      <c r="F624" s="4" t="s">
        <v>41</v>
      </c>
      <c r="G624" s="4" t="s">
        <v>37</v>
      </c>
      <c r="H624" s="4" t="s">
        <v>93</v>
      </c>
      <c r="I624" s="4" t="s">
        <v>65</v>
      </c>
      <c r="J624" s="5">
        <v>42</v>
      </c>
      <c r="K624" s="5">
        <v>334.62</v>
      </c>
      <c r="L624" s="5">
        <v>14054.04</v>
      </c>
      <c r="M624" s="5">
        <v>8713.5</v>
      </c>
      <c r="N624" s="5">
        <v>5340.54</v>
      </c>
    </row>
    <row r="625" spans="1:14">
      <c r="A625" s="2">
        <v>45993.416666666657</v>
      </c>
      <c r="B625" s="3">
        <v>2025</v>
      </c>
      <c r="C625" s="4" t="s">
        <v>85</v>
      </c>
      <c r="D625" s="4">
        <v>12</v>
      </c>
      <c r="E625" s="4" t="s">
        <v>31</v>
      </c>
      <c r="F625" s="4" t="s">
        <v>44</v>
      </c>
      <c r="G625" s="4" t="s">
        <v>37</v>
      </c>
      <c r="H625" s="4" t="s">
        <v>93</v>
      </c>
      <c r="I625" s="4" t="s">
        <v>86</v>
      </c>
      <c r="J625" s="5">
        <v>27</v>
      </c>
      <c r="K625" s="5">
        <v>231.36</v>
      </c>
      <c r="L625" s="5">
        <v>6246.72</v>
      </c>
      <c r="M625" s="5">
        <v>3872.97</v>
      </c>
      <c r="N625" s="5">
        <v>2373.75</v>
      </c>
    </row>
    <row r="626" spans="1:14">
      <c r="A626" s="2">
        <v>44571.416666666657</v>
      </c>
      <c r="B626" s="3">
        <v>2022</v>
      </c>
      <c r="C626" s="4" t="s">
        <v>59</v>
      </c>
      <c r="D626" s="4">
        <v>1</v>
      </c>
      <c r="E626" s="4" t="s">
        <v>1</v>
      </c>
      <c r="F626" s="4" t="s">
        <v>40</v>
      </c>
      <c r="G626" s="4" t="s">
        <v>35</v>
      </c>
      <c r="H626" s="4" t="s">
        <v>90</v>
      </c>
      <c r="I626" s="4" t="s">
        <v>71</v>
      </c>
      <c r="J626" s="5">
        <v>14</v>
      </c>
      <c r="K626" s="5">
        <v>112.73</v>
      </c>
      <c r="L626" s="5">
        <v>1578.22</v>
      </c>
      <c r="M626" s="5">
        <v>978.5</v>
      </c>
      <c r="N626" s="5">
        <v>599.72</v>
      </c>
    </row>
    <row r="627" spans="1:14">
      <c r="A627" s="2">
        <v>44938.416666666657</v>
      </c>
      <c r="B627" s="3">
        <v>2023</v>
      </c>
      <c r="C627" s="4" t="s">
        <v>59</v>
      </c>
      <c r="D627" s="4">
        <v>1</v>
      </c>
      <c r="E627" s="4" t="s">
        <v>1</v>
      </c>
      <c r="F627" s="4" t="s">
        <v>43</v>
      </c>
      <c r="G627" s="4" t="s">
        <v>37</v>
      </c>
      <c r="H627" s="4" t="s">
        <v>66</v>
      </c>
      <c r="I627" s="4" t="s">
        <v>65</v>
      </c>
      <c r="J627" s="5">
        <v>9</v>
      </c>
      <c r="K627" s="5">
        <v>517.55999999999995</v>
      </c>
      <c r="L627" s="5">
        <v>4658.04</v>
      </c>
      <c r="M627" s="5">
        <v>2887.98</v>
      </c>
      <c r="N627" s="5">
        <v>1770.06</v>
      </c>
    </row>
    <row r="628" spans="1:14">
      <c r="A628" s="2">
        <v>45294.416666666657</v>
      </c>
      <c r="B628" s="3">
        <v>2024</v>
      </c>
      <c r="C628" s="4" t="s">
        <v>59</v>
      </c>
      <c r="D628" s="4">
        <v>1</v>
      </c>
      <c r="E628" s="4" t="s">
        <v>1</v>
      </c>
      <c r="F628" s="4" t="s">
        <v>44</v>
      </c>
      <c r="G628" s="4" t="s">
        <v>37</v>
      </c>
      <c r="H628" s="4" t="s">
        <v>87</v>
      </c>
      <c r="I628" s="4" t="s">
        <v>86</v>
      </c>
      <c r="J628" s="5">
        <v>41</v>
      </c>
      <c r="K628" s="5">
        <v>89.06</v>
      </c>
      <c r="L628" s="5">
        <v>3651.46</v>
      </c>
      <c r="M628" s="5">
        <v>2263.91</v>
      </c>
      <c r="N628" s="5">
        <v>1387.55</v>
      </c>
    </row>
    <row r="629" spans="1:14">
      <c r="A629" s="2">
        <v>45673.416666666657</v>
      </c>
      <c r="B629" s="3">
        <v>2025</v>
      </c>
      <c r="C629" s="4" t="s">
        <v>59</v>
      </c>
      <c r="D629" s="4">
        <v>1</v>
      </c>
      <c r="E629" s="4" t="s">
        <v>1</v>
      </c>
      <c r="F629" s="4" t="s">
        <v>42</v>
      </c>
      <c r="G629" s="4" t="s">
        <v>38</v>
      </c>
      <c r="H629" s="4" t="s">
        <v>83</v>
      </c>
      <c r="I629" s="4" t="s">
        <v>71</v>
      </c>
      <c r="J629" s="5">
        <v>23</v>
      </c>
      <c r="K629" s="5">
        <v>333.24</v>
      </c>
      <c r="L629" s="5">
        <v>7664.52</v>
      </c>
      <c r="M629" s="5">
        <v>4752</v>
      </c>
      <c r="N629" s="5">
        <v>2912.52</v>
      </c>
    </row>
    <row r="630" spans="1:14">
      <c r="A630" s="2">
        <v>44614.416666666657</v>
      </c>
      <c r="B630" s="3">
        <v>2022</v>
      </c>
      <c r="C630" s="4" t="s">
        <v>59</v>
      </c>
      <c r="D630" s="4">
        <v>2</v>
      </c>
      <c r="E630" s="4" t="s">
        <v>2</v>
      </c>
      <c r="F630" s="4" t="s">
        <v>41</v>
      </c>
      <c r="G630" s="4" t="s">
        <v>36</v>
      </c>
      <c r="H630" s="4" t="s">
        <v>81</v>
      </c>
      <c r="I630" s="4" t="s">
        <v>63</v>
      </c>
      <c r="J630" s="5">
        <v>7</v>
      </c>
      <c r="K630" s="5">
        <v>3864.98</v>
      </c>
      <c r="L630" s="5">
        <v>27054.86</v>
      </c>
      <c r="M630" s="5">
        <v>16774.009999999998</v>
      </c>
      <c r="N630" s="5">
        <v>10280.85</v>
      </c>
    </row>
    <row r="631" spans="1:14">
      <c r="A631" s="2">
        <v>44980.416666666657</v>
      </c>
      <c r="B631" s="3">
        <v>2023</v>
      </c>
      <c r="C631" s="4" t="s">
        <v>59</v>
      </c>
      <c r="D631" s="4">
        <v>2</v>
      </c>
      <c r="E631" s="4" t="s">
        <v>2</v>
      </c>
      <c r="F631" s="4" t="s">
        <v>40</v>
      </c>
      <c r="G631" s="4" t="s">
        <v>37</v>
      </c>
      <c r="H631" s="4" t="s">
        <v>62</v>
      </c>
      <c r="I631" s="4" t="s">
        <v>68</v>
      </c>
      <c r="J631" s="5">
        <v>15</v>
      </c>
      <c r="K631" s="5">
        <v>364.46</v>
      </c>
      <c r="L631" s="5">
        <v>5466.9</v>
      </c>
      <c r="M631" s="5">
        <v>3389.48</v>
      </c>
      <c r="N631" s="5">
        <v>2077.42</v>
      </c>
    </row>
    <row r="632" spans="1:14">
      <c r="A632" s="2">
        <v>45338.416666666657</v>
      </c>
      <c r="B632" s="3">
        <v>2024</v>
      </c>
      <c r="C632" s="4" t="s">
        <v>59</v>
      </c>
      <c r="D632" s="4">
        <v>2</v>
      </c>
      <c r="E632" s="4" t="s">
        <v>2</v>
      </c>
      <c r="F632" s="4" t="s">
        <v>44</v>
      </c>
      <c r="G632" s="4" t="s">
        <v>36</v>
      </c>
      <c r="H632" s="4" t="s">
        <v>91</v>
      </c>
      <c r="I632" s="4" t="s">
        <v>61</v>
      </c>
      <c r="J632" s="5">
        <v>17</v>
      </c>
      <c r="K632" s="5">
        <v>2692.97</v>
      </c>
      <c r="L632" s="5">
        <v>45780.49</v>
      </c>
      <c r="M632" s="5">
        <v>28383.9</v>
      </c>
      <c r="N632" s="5">
        <v>17396.59</v>
      </c>
    </row>
    <row r="633" spans="1:14">
      <c r="A633" s="2">
        <v>45702.416666666657</v>
      </c>
      <c r="B633" s="3">
        <v>2025</v>
      </c>
      <c r="C633" s="4" t="s">
        <v>59</v>
      </c>
      <c r="D633" s="4">
        <v>2</v>
      </c>
      <c r="E633" s="4" t="s">
        <v>2</v>
      </c>
      <c r="F633" s="4" t="s">
        <v>40</v>
      </c>
      <c r="G633" s="4" t="s">
        <v>37</v>
      </c>
      <c r="H633" s="4" t="s">
        <v>62</v>
      </c>
      <c r="I633" s="4" t="s">
        <v>61</v>
      </c>
      <c r="J633" s="5">
        <v>10</v>
      </c>
      <c r="K633" s="5">
        <v>474.88</v>
      </c>
      <c r="L633" s="5">
        <v>4748.8</v>
      </c>
      <c r="M633" s="5">
        <v>2944.26</v>
      </c>
      <c r="N633" s="5">
        <v>1804.54</v>
      </c>
    </row>
    <row r="634" spans="1:14">
      <c r="A634" s="2">
        <v>44633.416666666657</v>
      </c>
      <c r="B634" s="3">
        <v>2022</v>
      </c>
      <c r="C634" s="4" t="s">
        <v>59</v>
      </c>
      <c r="D634" s="4">
        <v>3</v>
      </c>
      <c r="E634" s="4" t="s">
        <v>13</v>
      </c>
      <c r="F634" s="4" t="s">
        <v>42</v>
      </c>
      <c r="G634" s="4" t="s">
        <v>39</v>
      </c>
      <c r="H634" s="4" t="s">
        <v>82</v>
      </c>
      <c r="I634" s="4" t="s">
        <v>65</v>
      </c>
      <c r="J634" s="5">
        <v>2</v>
      </c>
      <c r="K634" s="5">
        <v>2698.75</v>
      </c>
      <c r="L634" s="5">
        <v>5397.5</v>
      </c>
      <c r="M634" s="5">
        <v>3346.45</v>
      </c>
      <c r="N634" s="5">
        <v>2051.0500000000002</v>
      </c>
    </row>
    <row r="635" spans="1:14">
      <c r="A635" s="2">
        <v>44991.416666666657</v>
      </c>
      <c r="B635" s="3">
        <v>2023</v>
      </c>
      <c r="C635" s="4" t="s">
        <v>59</v>
      </c>
      <c r="D635" s="4">
        <v>3</v>
      </c>
      <c r="E635" s="4" t="s">
        <v>13</v>
      </c>
      <c r="F635" s="4" t="s">
        <v>42</v>
      </c>
      <c r="G635" s="4" t="s">
        <v>35</v>
      </c>
      <c r="H635" s="4" t="s">
        <v>69</v>
      </c>
      <c r="I635" s="4" t="s">
        <v>61</v>
      </c>
      <c r="J635" s="5">
        <v>6</v>
      </c>
      <c r="K635" s="5">
        <v>86.34</v>
      </c>
      <c r="L635" s="5">
        <v>518.04</v>
      </c>
      <c r="M635" s="5">
        <v>321.18</v>
      </c>
      <c r="N635" s="5">
        <v>196.86</v>
      </c>
    </row>
    <row r="636" spans="1:14">
      <c r="A636" s="2">
        <v>45365.416666666657</v>
      </c>
      <c r="B636" s="3">
        <v>2024</v>
      </c>
      <c r="C636" s="4" t="s">
        <v>59</v>
      </c>
      <c r="D636" s="4">
        <v>3</v>
      </c>
      <c r="E636" s="4" t="s">
        <v>13</v>
      </c>
      <c r="F636" s="4" t="s">
        <v>42</v>
      </c>
      <c r="G636" s="4" t="s">
        <v>37</v>
      </c>
      <c r="H636" s="4" t="s">
        <v>84</v>
      </c>
      <c r="I636" s="4" t="s">
        <v>86</v>
      </c>
      <c r="J636" s="5">
        <v>15</v>
      </c>
      <c r="K636" s="5">
        <v>389.58</v>
      </c>
      <c r="L636" s="5">
        <v>5843.7</v>
      </c>
      <c r="M636" s="5">
        <v>3623.09</v>
      </c>
      <c r="N636" s="5">
        <v>2220.61</v>
      </c>
    </row>
    <row r="637" spans="1:14">
      <c r="A637" s="2">
        <v>45720.416666666657</v>
      </c>
      <c r="B637" s="3">
        <v>2025</v>
      </c>
      <c r="C637" s="4" t="s">
        <v>59</v>
      </c>
      <c r="D637" s="4">
        <v>3</v>
      </c>
      <c r="E637" s="4" t="s">
        <v>13</v>
      </c>
      <c r="F637" s="4" t="s">
        <v>44</v>
      </c>
      <c r="G637" s="4" t="s">
        <v>36</v>
      </c>
      <c r="H637" s="4" t="s">
        <v>91</v>
      </c>
      <c r="I637" s="4" t="s">
        <v>86</v>
      </c>
      <c r="J637" s="5">
        <v>11</v>
      </c>
      <c r="K637" s="5">
        <v>2738.37</v>
      </c>
      <c r="L637" s="5">
        <v>30122.07</v>
      </c>
      <c r="M637" s="5">
        <v>18675.68</v>
      </c>
      <c r="N637" s="5">
        <v>11446.39</v>
      </c>
    </row>
    <row r="638" spans="1:14">
      <c r="A638" s="2">
        <v>44654.416666666657</v>
      </c>
      <c r="B638" s="3">
        <v>2022</v>
      </c>
      <c r="C638" s="4" t="s">
        <v>76</v>
      </c>
      <c r="D638" s="4">
        <v>4</v>
      </c>
      <c r="E638" s="4" t="s">
        <v>17</v>
      </c>
      <c r="F638" s="4" t="s">
        <v>41</v>
      </c>
      <c r="G638" s="4" t="s">
        <v>37</v>
      </c>
      <c r="H638" s="4" t="s">
        <v>93</v>
      </c>
      <c r="I638" s="4" t="s">
        <v>71</v>
      </c>
      <c r="J638" s="5">
        <v>1</v>
      </c>
      <c r="K638" s="5">
        <v>447.48</v>
      </c>
      <c r="L638" s="5">
        <v>447.48</v>
      </c>
      <c r="M638" s="5">
        <v>277.44</v>
      </c>
      <c r="N638" s="5">
        <v>170.04</v>
      </c>
    </row>
    <row r="639" spans="1:14">
      <c r="A639" s="2">
        <v>45024.416666666657</v>
      </c>
      <c r="B639" s="3">
        <v>2023</v>
      </c>
      <c r="C639" s="4" t="s">
        <v>76</v>
      </c>
      <c r="D639" s="4">
        <v>4</v>
      </c>
      <c r="E639" s="4" t="s">
        <v>17</v>
      </c>
      <c r="F639" s="4" t="s">
        <v>40</v>
      </c>
      <c r="G639" s="4" t="s">
        <v>39</v>
      </c>
      <c r="H639" s="4" t="s">
        <v>89</v>
      </c>
      <c r="I639" s="4" t="s">
        <v>63</v>
      </c>
      <c r="J639" s="5">
        <v>18</v>
      </c>
      <c r="K639" s="5">
        <v>6171.86</v>
      </c>
      <c r="L639" s="5">
        <v>111093.48</v>
      </c>
      <c r="M639" s="5">
        <v>68877.960000000006</v>
      </c>
      <c r="N639" s="5">
        <v>42215.519999999997</v>
      </c>
    </row>
    <row r="640" spans="1:14">
      <c r="A640" s="2">
        <v>45393.416666666657</v>
      </c>
      <c r="B640" s="3">
        <v>2024</v>
      </c>
      <c r="C640" s="4" t="s">
        <v>76</v>
      </c>
      <c r="D640" s="4">
        <v>4</v>
      </c>
      <c r="E640" s="4" t="s">
        <v>17</v>
      </c>
      <c r="F640" s="4" t="s">
        <v>41</v>
      </c>
      <c r="G640" s="4" t="s">
        <v>39</v>
      </c>
      <c r="H640" s="4" t="s">
        <v>89</v>
      </c>
      <c r="I640" s="4" t="s">
        <v>65</v>
      </c>
      <c r="J640" s="5">
        <v>3</v>
      </c>
      <c r="K640" s="5">
        <v>6480.34</v>
      </c>
      <c r="L640" s="5">
        <v>19441.02</v>
      </c>
      <c r="M640" s="5">
        <v>12053.43</v>
      </c>
      <c r="N640" s="5">
        <v>7387.59</v>
      </c>
    </row>
    <row r="641" spans="1:14">
      <c r="A641" s="2">
        <v>45769.416666666657</v>
      </c>
      <c r="B641" s="3">
        <v>2025</v>
      </c>
      <c r="C641" s="4" t="s">
        <v>76</v>
      </c>
      <c r="D641" s="4">
        <v>4</v>
      </c>
      <c r="E641" s="4" t="s">
        <v>17</v>
      </c>
      <c r="F641" s="4" t="s">
        <v>43</v>
      </c>
      <c r="G641" s="4" t="s">
        <v>35</v>
      </c>
      <c r="H641" s="4" t="s">
        <v>64</v>
      </c>
      <c r="I641" s="4" t="s">
        <v>86</v>
      </c>
      <c r="J641" s="5">
        <v>2</v>
      </c>
      <c r="K641" s="5">
        <v>136.91999999999999</v>
      </c>
      <c r="L641" s="5">
        <v>273.83999999999997</v>
      </c>
      <c r="M641" s="5">
        <v>169.78</v>
      </c>
      <c r="N641" s="5">
        <v>104.06</v>
      </c>
    </row>
    <row r="642" spans="1:14">
      <c r="A642" s="2">
        <v>44708.416666666657</v>
      </c>
      <c r="B642" s="3">
        <v>2022</v>
      </c>
      <c r="C642" s="4" t="s">
        <v>76</v>
      </c>
      <c r="D642" s="4">
        <v>5</v>
      </c>
      <c r="E642" s="4" t="s">
        <v>18</v>
      </c>
      <c r="F642" s="4" t="s">
        <v>44</v>
      </c>
      <c r="G642" s="4" t="s">
        <v>38</v>
      </c>
      <c r="H642" s="4" t="s">
        <v>77</v>
      </c>
      <c r="I642" s="4" t="s">
        <v>68</v>
      </c>
      <c r="J642" s="5">
        <v>8</v>
      </c>
      <c r="K642" s="5">
        <v>244.83</v>
      </c>
      <c r="L642" s="5">
        <v>1958.64</v>
      </c>
      <c r="M642" s="5">
        <v>1214.3599999999999</v>
      </c>
      <c r="N642" s="5">
        <v>744.28</v>
      </c>
    </row>
    <row r="643" spans="1:14">
      <c r="A643" s="2">
        <v>45055.416666666657</v>
      </c>
      <c r="B643" s="3">
        <v>2023</v>
      </c>
      <c r="C643" s="4" t="s">
        <v>76</v>
      </c>
      <c r="D643" s="4">
        <v>5</v>
      </c>
      <c r="E643" s="4" t="s">
        <v>18</v>
      </c>
      <c r="F643" s="4" t="s">
        <v>40</v>
      </c>
      <c r="G643" s="4" t="s">
        <v>36</v>
      </c>
      <c r="H643" s="4" t="s">
        <v>67</v>
      </c>
      <c r="I643" s="4" t="s">
        <v>61</v>
      </c>
      <c r="J643" s="5">
        <v>19</v>
      </c>
      <c r="K643" s="5">
        <v>1179.24</v>
      </c>
      <c r="L643" s="5">
        <v>22405.56</v>
      </c>
      <c r="M643" s="5">
        <v>13891.45</v>
      </c>
      <c r="N643" s="5">
        <v>8514.11</v>
      </c>
    </row>
    <row r="644" spans="1:14">
      <c r="A644" s="2">
        <v>45424.416666666657</v>
      </c>
      <c r="B644" s="3">
        <v>2024</v>
      </c>
      <c r="C644" s="4" t="s">
        <v>76</v>
      </c>
      <c r="D644" s="4">
        <v>5</v>
      </c>
      <c r="E644" s="4" t="s">
        <v>18</v>
      </c>
      <c r="F644" s="4" t="s">
        <v>44</v>
      </c>
      <c r="G644" s="4" t="s">
        <v>36</v>
      </c>
      <c r="H644" s="4" t="s">
        <v>75</v>
      </c>
      <c r="I644" s="4" t="s">
        <v>86</v>
      </c>
      <c r="J644" s="5">
        <v>9</v>
      </c>
      <c r="K644" s="5">
        <v>1293.92</v>
      </c>
      <c r="L644" s="5">
        <v>11645.28</v>
      </c>
      <c r="M644" s="5">
        <v>7220.07</v>
      </c>
      <c r="N644" s="5">
        <v>4425.21</v>
      </c>
    </row>
    <row r="645" spans="1:14">
      <c r="A645" s="2">
        <v>45801.416666666657</v>
      </c>
      <c r="B645" s="3">
        <v>2025</v>
      </c>
      <c r="C645" s="4" t="s">
        <v>76</v>
      </c>
      <c r="D645" s="4">
        <v>5</v>
      </c>
      <c r="E645" s="4" t="s">
        <v>18</v>
      </c>
      <c r="F645" s="4" t="s">
        <v>40</v>
      </c>
      <c r="G645" s="4" t="s">
        <v>36</v>
      </c>
      <c r="H645" s="4" t="s">
        <v>67</v>
      </c>
      <c r="I645" s="4" t="s">
        <v>65</v>
      </c>
      <c r="J645" s="5">
        <v>2</v>
      </c>
      <c r="K645" s="5">
        <v>604.88</v>
      </c>
      <c r="L645" s="5">
        <v>1209.76</v>
      </c>
      <c r="M645" s="5">
        <v>750.05</v>
      </c>
      <c r="N645" s="5">
        <v>459.71</v>
      </c>
    </row>
    <row r="646" spans="1:14">
      <c r="A646" s="2">
        <v>44726.416666666657</v>
      </c>
      <c r="B646" s="3">
        <v>2022</v>
      </c>
      <c r="C646" s="4" t="s">
        <v>76</v>
      </c>
      <c r="D646" s="4">
        <v>6</v>
      </c>
      <c r="E646" s="4" t="s">
        <v>19</v>
      </c>
      <c r="F646" s="4" t="s">
        <v>43</v>
      </c>
      <c r="G646" s="4" t="s">
        <v>35</v>
      </c>
      <c r="H646" s="4" t="s">
        <v>92</v>
      </c>
      <c r="I646" s="4" t="s">
        <v>61</v>
      </c>
      <c r="J646" s="5">
        <v>17</v>
      </c>
      <c r="K646" s="5">
        <v>115.56</v>
      </c>
      <c r="L646" s="5">
        <v>1964.52</v>
      </c>
      <c r="M646" s="5">
        <v>1218</v>
      </c>
      <c r="N646" s="5">
        <v>746.52</v>
      </c>
    </row>
    <row r="647" spans="1:14">
      <c r="A647" s="2">
        <v>45105.416666666657</v>
      </c>
      <c r="B647" s="3">
        <v>2023</v>
      </c>
      <c r="C647" s="4" t="s">
        <v>76</v>
      </c>
      <c r="D647" s="4">
        <v>6</v>
      </c>
      <c r="E647" s="4" t="s">
        <v>19</v>
      </c>
      <c r="F647" s="4" t="s">
        <v>41</v>
      </c>
      <c r="G647" s="4" t="s">
        <v>37</v>
      </c>
      <c r="H647" s="4" t="s">
        <v>87</v>
      </c>
      <c r="I647" s="4" t="s">
        <v>65</v>
      </c>
      <c r="J647" s="5">
        <v>22</v>
      </c>
      <c r="K647" s="5">
        <v>472.04</v>
      </c>
      <c r="L647" s="5">
        <v>10384.879999999999</v>
      </c>
      <c r="M647" s="5">
        <v>6438.63</v>
      </c>
      <c r="N647" s="5">
        <v>3946.25</v>
      </c>
    </row>
    <row r="648" spans="1:14">
      <c r="A648" s="2">
        <v>45446.416666666657</v>
      </c>
      <c r="B648" s="3">
        <v>2024</v>
      </c>
      <c r="C648" s="4" t="s">
        <v>76</v>
      </c>
      <c r="D648" s="4">
        <v>6</v>
      </c>
      <c r="E648" s="4" t="s">
        <v>19</v>
      </c>
      <c r="F648" s="4" t="s">
        <v>43</v>
      </c>
      <c r="G648" s="4" t="s">
        <v>39</v>
      </c>
      <c r="H648" s="4" t="s">
        <v>78</v>
      </c>
      <c r="I648" s="4" t="s">
        <v>63</v>
      </c>
      <c r="J648" s="5">
        <v>4</v>
      </c>
      <c r="K648" s="5">
        <v>4042.55</v>
      </c>
      <c r="L648" s="5">
        <v>16170.2</v>
      </c>
      <c r="M648" s="5">
        <v>10025.52</v>
      </c>
      <c r="N648" s="5">
        <v>6144.68</v>
      </c>
    </row>
    <row r="649" spans="1:14">
      <c r="A649" s="2">
        <v>45817.416666666657</v>
      </c>
      <c r="B649" s="3">
        <v>2025</v>
      </c>
      <c r="C649" s="4" t="s">
        <v>76</v>
      </c>
      <c r="D649" s="4">
        <v>6</v>
      </c>
      <c r="E649" s="4" t="s">
        <v>19</v>
      </c>
      <c r="F649" s="4" t="s">
        <v>42</v>
      </c>
      <c r="G649" s="4" t="s">
        <v>35</v>
      </c>
      <c r="H649" s="4" t="s">
        <v>92</v>
      </c>
      <c r="I649" s="4" t="s">
        <v>68</v>
      </c>
      <c r="J649" s="5">
        <v>17</v>
      </c>
      <c r="K649" s="5">
        <v>29.56</v>
      </c>
      <c r="L649" s="5">
        <v>502.52</v>
      </c>
      <c r="M649" s="5">
        <v>311.56</v>
      </c>
      <c r="N649" s="5">
        <v>190.96</v>
      </c>
    </row>
    <row r="650" spans="1:14">
      <c r="A650" s="2">
        <v>44750.416666666657</v>
      </c>
      <c r="B650" s="3">
        <v>2022</v>
      </c>
      <c r="C650" s="4" t="s">
        <v>80</v>
      </c>
      <c r="D650" s="4">
        <v>7</v>
      </c>
      <c r="E650" s="4" t="s">
        <v>21</v>
      </c>
      <c r="F650" s="4" t="s">
        <v>40</v>
      </c>
      <c r="G650" s="4" t="s">
        <v>39</v>
      </c>
      <c r="H650" s="4" t="s">
        <v>89</v>
      </c>
      <c r="I650" s="4" t="s">
        <v>65</v>
      </c>
      <c r="J650" s="5">
        <v>18</v>
      </c>
      <c r="K650" s="5">
        <v>1710.5</v>
      </c>
      <c r="L650" s="5">
        <v>30789</v>
      </c>
      <c r="M650" s="5">
        <v>19089.18</v>
      </c>
      <c r="N650" s="5">
        <v>11699.82</v>
      </c>
    </row>
    <row r="651" spans="1:14">
      <c r="A651" s="2">
        <v>45117.416666666657</v>
      </c>
      <c r="B651" s="3">
        <v>2023</v>
      </c>
      <c r="C651" s="4" t="s">
        <v>80</v>
      </c>
      <c r="D651" s="4">
        <v>7</v>
      </c>
      <c r="E651" s="4" t="s">
        <v>21</v>
      </c>
      <c r="F651" s="4" t="s">
        <v>41</v>
      </c>
      <c r="G651" s="4" t="s">
        <v>35</v>
      </c>
      <c r="H651" s="4" t="s">
        <v>70</v>
      </c>
      <c r="I651" s="4" t="s">
        <v>71</v>
      </c>
      <c r="J651" s="5">
        <v>2</v>
      </c>
      <c r="K651" s="5">
        <v>53.28</v>
      </c>
      <c r="L651" s="5">
        <v>106.56</v>
      </c>
      <c r="M651" s="5">
        <v>66.069999999999993</v>
      </c>
      <c r="N651" s="5">
        <v>40.49</v>
      </c>
    </row>
    <row r="652" spans="1:14">
      <c r="A652" s="2">
        <v>45495.416666666657</v>
      </c>
      <c r="B652" s="3">
        <v>2024</v>
      </c>
      <c r="C652" s="4" t="s">
        <v>80</v>
      </c>
      <c r="D652" s="4">
        <v>7</v>
      </c>
      <c r="E652" s="4" t="s">
        <v>21</v>
      </c>
      <c r="F652" s="4" t="s">
        <v>42</v>
      </c>
      <c r="G652" s="4" t="s">
        <v>36</v>
      </c>
      <c r="H652" s="4" t="s">
        <v>73</v>
      </c>
      <c r="I652" s="4" t="s">
        <v>71</v>
      </c>
      <c r="J652" s="5">
        <v>20</v>
      </c>
      <c r="K652" s="5">
        <v>2904.4</v>
      </c>
      <c r="L652" s="5">
        <v>58088</v>
      </c>
      <c r="M652" s="5">
        <v>36014.559999999998</v>
      </c>
      <c r="N652" s="5">
        <v>22073.439999999999</v>
      </c>
    </row>
    <row r="653" spans="1:14">
      <c r="A653" s="2">
        <v>45841.416666666657</v>
      </c>
      <c r="B653" s="3">
        <v>2025</v>
      </c>
      <c r="C653" s="4" t="s">
        <v>80</v>
      </c>
      <c r="D653" s="4">
        <v>7</v>
      </c>
      <c r="E653" s="4" t="s">
        <v>21</v>
      </c>
      <c r="F653" s="4" t="s">
        <v>43</v>
      </c>
      <c r="G653" s="4" t="s">
        <v>39</v>
      </c>
      <c r="H653" s="4" t="s">
        <v>89</v>
      </c>
      <c r="I653" s="4" t="s">
        <v>63</v>
      </c>
      <c r="J653" s="5">
        <v>9</v>
      </c>
      <c r="K653" s="5">
        <v>6102.76</v>
      </c>
      <c r="L653" s="5">
        <v>54924.84</v>
      </c>
      <c r="M653" s="5">
        <v>34053.4</v>
      </c>
      <c r="N653" s="5">
        <v>20871.439999999999</v>
      </c>
    </row>
    <row r="654" spans="1:14">
      <c r="A654" s="2">
        <v>44795.416666666657</v>
      </c>
      <c r="B654" s="3">
        <v>2022</v>
      </c>
      <c r="C654" s="4" t="s">
        <v>80</v>
      </c>
      <c r="D654" s="4">
        <v>8</v>
      </c>
      <c r="E654" s="4" t="s">
        <v>22</v>
      </c>
      <c r="F654" s="4" t="s">
        <v>43</v>
      </c>
      <c r="G654" s="4" t="s">
        <v>38</v>
      </c>
      <c r="H654" s="4" t="s">
        <v>74</v>
      </c>
      <c r="I654" s="4" t="s">
        <v>71</v>
      </c>
      <c r="J654" s="5">
        <v>11</v>
      </c>
      <c r="K654" s="5">
        <v>309.69</v>
      </c>
      <c r="L654" s="5">
        <v>3406.59</v>
      </c>
      <c r="M654" s="5">
        <v>2112.09</v>
      </c>
      <c r="N654" s="5">
        <v>1294.5</v>
      </c>
    </row>
    <row r="655" spans="1:14">
      <c r="A655" s="2">
        <v>45144.416666666657</v>
      </c>
      <c r="B655" s="3">
        <v>2023</v>
      </c>
      <c r="C655" s="4" t="s">
        <v>80</v>
      </c>
      <c r="D655" s="4">
        <v>8</v>
      </c>
      <c r="E655" s="4" t="s">
        <v>22</v>
      </c>
      <c r="F655" s="4" t="s">
        <v>41</v>
      </c>
      <c r="G655" s="4" t="s">
        <v>35</v>
      </c>
      <c r="H655" s="4" t="s">
        <v>64</v>
      </c>
      <c r="I655" s="4" t="s">
        <v>71</v>
      </c>
      <c r="J655" s="5">
        <v>13</v>
      </c>
      <c r="K655" s="5">
        <v>76.45</v>
      </c>
      <c r="L655" s="5">
        <v>993.85</v>
      </c>
      <c r="M655" s="5">
        <v>616.19000000000005</v>
      </c>
      <c r="N655" s="5">
        <v>377.66</v>
      </c>
    </row>
    <row r="656" spans="1:14">
      <c r="A656" s="2">
        <v>45505.416666666657</v>
      </c>
      <c r="B656" s="3">
        <v>2024</v>
      </c>
      <c r="C656" s="4" t="s">
        <v>80</v>
      </c>
      <c r="D656" s="4">
        <v>8</v>
      </c>
      <c r="E656" s="4" t="s">
        <v>22</v>
      </c>
      <c r="F656" s="4" t="s">
        <v>43</v>
      </c>
      <c r="G656" s="4" t="s">
        <v>36</v>
      </c>
      <c r="H656" s="4" t="s">
        <v>67</v>
      </c>
      <c r="I656" s="4" t="s">
        <v>65</v>
      </c>
      <c r="J656" s="5">
        <v>31</v>
      </c>
      <c r="K656" s="5">
        <v>2290.9899999999998</v>
      </c>
      <c r="L656" s="5">
        <v>71020.69</v>
      </c>
      <c r="M656" s="5">
        <v>44032.83</v>
      </c>
      <c r="N656" s="5">
        <v>26987.86</v>
      </c>
    </row>
    <row r="657" spans="1:14">
      <c r="A657" s="2">
        <v>45894.416666666657</v>
      </c>
      <c r="B657" s="3">
        <v>2025</v>
      </c>
      <c r="C657" s="4" t="s">
        <v>80</v>
      </c>
      <c r="D657" s="4">
        <v>8</v>
      </c>
      <c r="E657" s="4" t="s">
        <v>22</v>
      </c>
      <c r="F657" s="4" t="s">
        <v>44</v>
      </c>
      <c r="G657" s="4" t="s">
        <v>37</v>
      </c>
      <c r="H657" s="4" t="s">
        <v>62</v>
      </c>
      <c r="I657" s="4" t="s">
        <v>86</v>
      </c>
      <c r="J657" s="5">
        <v>8</v>
      </c>
      <c r="K657" s="5">
        <v>95.32</v>
      </c>
      <c r="L657" s="5">
        <v>762.56</v>
      </c>
      <c r="M657" s="5">
        <v>472.79</v>
      </c>
      <c r="N657" s="5">
        <v>289.77</v>
      </c>
    </row>
    <row r="658" spans="1:14">
      <c r="A658" s="2">
        <v>44806.416666666657</v>
      </c>
      <c r="B658" s="3">
        <v>2022</v>
      </c>
      <c r="C658" s="4" t="s">
        <v>80</v>
      </c>
      <c r="D658" s="4">
        <v>9</v>
      </c>
      <c r="E658" s="4" t="s">
        <v>23</v>
      </c>
      <c r="F658" s="4" t="s">
        <v>43</v>
      </c>
      <c r="G658" s="4" t="s">
        <v>39</v>
      </c>
      <c r="H658" s="4" t="s">
        <v>89</v>
      </c>
      <c r="I658" s="4" t="s">
        <v>61</v>
      </c>
      <c r="J658" s="5">
        <v>7</v>
      </c>
      <c r="K658" s="5">
        <v>6441.82</v>
      </c>
      <c r="L658" s="5">
        <v>45092.74</v>
      </c>
      <c r="M658" s="5">
        <v>27957.5</v>
      </c>
      <c r="N658" s="5">
        <v>17135.240000000002</v>
      </c>
    </row>
    <row r="659" spans="1:14">
      <c r="A659" s="2">
        <v>45188.416666666657</v>
      </c>
      <c r="B659" s="3">
        <v>2023</v>
      </c>
      <c r="C659" s="4" t="s">
        <v>80</v>
      </c>
      <c r="D659" s="4">
        <v>9</v>
      </c>
      <c r="E659" s="4" t="s">
        <v>23</v>
      </c>
      <c r="F659" s="4" t="s">
        <v>42</v>
      </c>
      <c r="G659" s="4" t="s">
        <v>38</v>
      </c>
      <c r="H659" s="4" t="s">
        <v>72</v>
      </c>
      <c r="I659" s="4" t="s">
        <v>68</v>
      </c>
      <c r="J659" s="5">
        <v>4</v>
      </c>
      <c r="K659" s="5">
        <v>42.81</v>
      </c>
      <c r="L659" s="5">
        <v>171.24</v>
      </c>
      <c r="M659" s="5">
        <v>106.17</v>
      </c>
      <c r="N659" s="5">
        <v>65.069999999999993</v>
      </c>
    </row>
    <row r="660" spans="1:14">
      <c r="A660" s="2">
        <v>45538.416666666657</v>
      </c>
      <c r="B660" s="3">
        <v>2024</v>
      </c>
      <c r="C660" s="4" t="s">
        <v>80</v>
      </c>
      <c r="D660" s="4">
        <v>9</v>
      </c>
      <c r="E660" s="4" t="s">
        <v>23</v>
      </c>
      <c r="F660" s="4" t="s">
        <v>43</v>
      </c>
      <c r="G660" s="4" t="s">
        <v>37</v>
      </c>
      <c r="H660" s="4" t="s">
        <v>66</v>
      </c>
      <c r="I660" s="4" t="s">
        <v>71</v>
      </c>
      <c r="J660" s="5">
        <v>25</v>
      </c>
      <c r="K660" s="5">
        <v>477.81</v>
      </c>
      <c r="L660" s="5">
        <v>11945.25</v>
      </c>
      <c r="M660" s="5">
        <v>7406.06</v>
      </c>
      <c r="N660" s="5">
        <v>4539.1899999999996</v>
      </c>
    </row>
    <row r="661" spans="1:14">
      <c r="A661" s="2">
        <v>45903.416666666657</v>
      </c>
      <c r="B661" s="3">
        <v>2025</v>
      </c>
      <c r="C661" s="4" t="s">
        <v>80</v>
      </c>
      <c r="D661" s="4">
        <v>9</v>
      </c>
      <c r="E661" s="4" t="s">
        <v>23</v>
      </c>
      <c r="F661" s="4" t="s">
        <v>41</v>
      </c>
      <c r="G661" s="4" t="s">
        <v>37</v>
      </c>
      <c r="H661" s="4" t="s">
        <v>84</v>
      </c>
      <c r="I661" s="4" t="s">
        <v>63</v>
      </c>
      <c r="J661" s="5">
        <v>14</v>
      </c>
      <c r="K661" s="5">
        <v>480.72</v>
      </c>
      <c r="L661" s="5">
        <v>6730.08</v>
      </c>
      <c r="M661" s="5">
        <v>4172.6499999999996</v>
      </c>
      <c r="N661" s="5">
        <v>2557.4299999999998</v>
      </c>
    </row>
    <row r="662" spans="1:14">
      <c r="A662" s="2">
        <v>44847.416666666657</v>
      </c>
      <c r="B662" s="3">
        <v>2022</v>
      </c>
      <c r="C662" s="4" t="s">
        <v>85</v>
      </c>
      <c r="D662" s="4">
        <v>10</v>
      </c>
      <c r="E662" s="4" t="s">
        <v>29</v>
      </c>
      <c r="F662" s="4" t="s">
        <v>44</v>
      </c>
      <c r="G662" s="4" t="s">
        <v>39</v>
      </c>
      <c r="H662" s="4" t="s">
        <v>78</v>
      </c>
      <c r="I662" s="4" t="s">
        <v>86</v>
      </c>
      <c r="J662" s="5">
        <v>15</v>
      </c>
      <c r="K662" s="5">
        <v>3555.23</v>
      </c>
      <c r="L662" s="5">
        <v>53328.45</v>
      </c>
      <c r="M662" s="5">
        <v>33063.64</v>
      </c>
      <c r="N662" s="5">
        <v>20264.810000000001</v>
      </c>
    </row>
    <row r="663" spans="1:14">
      <c r="A663" s="2">
        <v>45206.416666666657</v>
      </c>
      <c r="B663" s="3">
        <v>2023</v>
      </c>
      <c r="C663" s="4" t="s">
        <v>85</v>
      </c>
      <c r="D663" s="4">
        <v>10</v>
      </c>
      <c r="E663" s="4" t="s">
        <v>29</v>
      </c>
      <c r="F663" s="4" t="s">
        <v>43</v>
      </c>
      <c r="G663" s="4" t="s">
        <v>35</v>
      </c>
      <c r="H663" s="4" t="s">
        <v>92</v>
      </c>
      <c r="I663" s="4" t="s">
        <v>86</v>
      </c>
      <c r="J663" s="5">
        <v>26</v>
      </c>
      <c r="K663" s="5">
        <v>128.44</v>
      </c>
      <c r="L663" s="5">
        <v>3339.44</v>
      </c>
      <c r="M663" s="5">
        <v>2070.4499999999998</v>
      </c>
      <c r="N663" s="5">
        <v>1268.99</v>
      </c>
    </row>
    <row r="664" spans="1:14">
      <c r="A664" s="2">
        <v>45585.416666666657</v>
      </c>
      <c r="B664" s="3">
        <v>2024</v>
      </c>
      <c r="C664" s="4" t="s">
        <v>85</v>
      </c>
      <c r="D664" s="4">
        <v>10</v>
      </c>
      <c r="E664" s="4" t="s">
        <v>29</v>
      </c>
      <c r="F664" s="4" t="s">
        <v>40</v>
      </c>
      <c r="G664" s="4" t="s">
        <v>37</v>
      </c>
      <c r="H664" s="4" t="s">
        <v>66</v>
      </c>
      <c r="I664" s="4" t="s">
        <v>63</v>
      </c>
      <c r="J664" s="5">
        <v>12</v>
      </c>
      <c r="K664" s="5">
        <v>162.22999999999999</v>
      </c>
      <c r="L664" s="5">
        <v>1946.76</v>
      </c>
      <c r="M664" s="5">
        <v>1206.99</v>
      </c>
      <c r="N664" s="5">
        <v>739.77</v>
      </c>
    </row>
    <row r="665" spans="1:14">
      <c r="A665" s="2">
        <v>45938.416666666657</v>
      </c>
      <c r="B665" s="3">
        <v>2025</v>
      </c>
      <c r="C665" s="4" t="s">
        <v>85</v>
      </c>
      <c r="D665" s="4">
        <v>10</v>
      </c>
      <c r="E665" s="4" t="s">
        <v>29</v>
      </c>
      <c r="F665" s="4" t="s">
        <v>44</v>
      </c>
      <c r="G665" s="4" t="s">
        <v>36</v>
      </c>
      <c r="H665" s="4" t="s">
        <v>91</v>
      </c>
      <c r="I665" s="4" t="s">
        <v>61</v>
      </c>
      <c r="J665" s="5">
        <v>10</v>
      </c>
      <c r="K665" s="5">
        <v>1481.9</v>
      </c>
      <c r="L665" s="5">
        <v>14819</v>
      </c>
      <c r="M665" s="5">
        <v>9187.7800000000007</v>
      </c>
      <c r="N665" s="5">
        <v>5631.22</v>
      </c>
    </row>
    <row r="666" spans="1:14">
      <c r="A666" s="2">
        <v>44888.416666666657</v>
      </c>
      <c r="B666" s="3">
        <v>2022</v>
      </c>
      <c r="C666" s="4" t="s">
        <v>85</v>
      </c>
      <c r="D666" s="4">
        <v>11</v>
      </c>
      <c r="E666" s="4" t="s">
        <v>30</v>
      </c>
      <c r="F666" s="4" t="s">
        <v>44</v>
      </c>
      <c r="G666" s="4" t="s">
        <v>38</v>
      </c>
      <c r="H666" s="4" t="s">
        <v>72</v>
      </c>
      <c r="I666" s="4" t="s">
        <v>68</v>
      </c>
      <c r="J666" s="5">
        <v>4</v>
      </c>
      <c r="K666" s="5">
        <v>55.93</v>
      </c>
      <c r="L666" s="5">
        <v>223.72</v>
      </c>
      <c r="M666" s="5">
        <v>138.71</v>
      </c>
      <c r="N666" s="5">
        <v>85.01</v>
      </c>
    </row>
    <row r="667" spans="1:14">
      <c r="A667" s="2">
        <v>45256.416666666657</v>
      </c>
      <c r="B667" s="3">
        <v>2023</v>
      </c>
      <c r="C667" s="4" t="s">
        <v>85</v>
      </c>
      <c r="D667" s="4">
        <v>11</v>
      </c>
      <c r="E667" s="4" t="s">
        <v>30</v>
      </c>
      <c r="F667" s="4" t="s">
        <v>40</v>
      </c>
      <c r="G667" s="4" t="s">
        <v>35</v>
      </c>
      <c r="H667" s="4" t="s">
        <v>64</v>
      </c>
      <c r="I667" s="4" t="s">
        <v>71</v>
      </c>
      <c r="J667" s="5">
        <v>26</v>
      </c>
      <c r="K667" s="5">
        <v>98.23</v>
      </c>
      <c r="L667" s="5">
        <v>2553.98</v>
      </c>
      <c r="M667" s="5">
        <v>1583.47</v>
      </c>
      <c r="N667" s="5">
        <v>970.51</v>
      </c>
    </row>
    <row r="668" spans="1:14">
      <c r="A668" s="2">
        <v>45616.416666666657</v>
      </c>
      <c r="B668" s="3">
        <v>2024</v>
      </c>
      <c r="C668" s="4" t="s">
        <v>85</v>
      </c>
      <c r="D668" s="4">
        <v>11</v>
      </c>
      <c r="E668" s="4" t="s">
        <v>30</v>
      </c>
      <c r="F668" s="4" t="s">
        <v>43</v>
      </c>
      <c r="G668" s="4" t="s">
        <v>35</v>
      </c>
      <c r="H668" s="4" t="s">
        <v>69</v>
      </c>
      <c r="I668" s="4" t="s">
        <v>61</v>
      </c>
      <c r="J668" s="5">
        <v>26</v>
      </c>
      <c r="K668" s="5">
        <v>98.63</v>
      </c>
      <c r="L668" s="5">
        <v>2564.38</v>
      </c>
      <c r="M668" s="5">
        <v>1589.92</v>
      </c>
      <c r="N668" s="5">
        <v>974.46</v>
      </c>
    </row>
    <row r="669" spans="1:14">
      <c r="A669" s="2">
        <v>45973.416666666657</v>
      </c>
      <c r="B669" s="3">
        <v>2025</v>
      </c>
      <c r="C669" s="4" t="s">
        <v>85</v>
      </c>
      <c r="D669" s="4">
        <v>11</v>
      </c>
      <c r="E669" s="4" t="s">
        <v>30</v>
      </c>
      <c r="F669" s="4" t="s">
        <v>44</v>
      </c>
      <c r="G669" s="4" t="s">
        <v>35</v>
      </c>
      <c r="H669" s="4" t="s">
        <v>69</v>
      </c>
      <c r="I669" s="4" t="s">
        <v>86</v>
      </c>
      <c r="J669" s="5">
        <v>35</v>
      </c>
      <c r="K669" s="5">
        <v>78.2</v>
      </c>
      <c r="L669" s="5">
        <v>2737</v>
      </c>
      <c r="M669" s="5">
        <v>1696.94</v>
      </c>
      <c r="N669" s="5">
        <v>1040.06</v>
      </c>
    </row>
    <row r="670" spans="1:14">
      <c r="A670" s="2">
        <v>44922.416666666657</v>
      </c>
      <c r="B670" s="3">
        <v>2022</v>
      </c>
      <c r="C670" s="4" t="s">
        <v>85</v>
      </c>
      <c r="D670" s="4">
        <v>12</v>
      </c>
      <c r="E670" s="4" t="s">
        <v>31</v>
      </c>
      <c r="F670" s="4" t="s">
        <v>41</v>
      </c>
      <c r="G670" s="4" t="s">
        <v>36</v>
      </c>
      <c r="H670" s="4" t="s">
        <v>73</v>
      </c>
      <c r="I670" s="4" t="s">
        <v>61</v>
      </c>
      <c r="J670" s="5">
        <v>3</v>
      </c>
      <c r="K670" s="5">
        <v>4511.03</v>
      </c>
      <c r="L670" s="5">
        <v>13533.09</v>
      </c>
      <c r="M670" s="5">
        <v>8390.52</v>
      </c>
      <c r="N670" s="5">
        <v>5142.57</v>
      </c>
    </row>
    <row r="671" spans="1:14">
      <c r="A671" s="2">
        <v>45263.416666666657</v>
      </c>
      <c r="B671" s="3">
        <v>2023</v>
      </c>
      <c r="C671" s="4" t="s">
        <v>85</v>
      </c>
      <c r="D671" s="4">
        <v>12</v>
      </c>
      <c r="E671" s="4" t="s">
        <v>31</v>
      </c>
      <c r="F671" s="4" t="s">
        <v>44</v>
      </c>
      <c r="G671" s="4" t="s">
        <v>37</v>
      </c>
      <c r="H671" s="4" t="s">
        <v>93</v>
      </c>
      <c r="I671" s="4" t="s">
        <v>61</v>
      </c>
      <c r="J671" s="5">
        <v>5</v>
      </c>
      <c r="K671" s="5">
        <v>224.92</v>
      </c>
      <c r="L671" s="5">
        <v>1124.5999999999999</v>
      </c>
      <c r="M671" s="5">
        <v>697.25</v>
      </c>
      <c r="N671" s="5">
        <v>427.35</v>
      </c>
    </row>
    <row r="672" spans="1:14">
      <c r="A672" s="2">
        <v>45650.416666666657</v>
      </c>
      <c r="B672" s="3">
        <v>2024</v>
      </c>
      <c r="C672" s="4" t="s">
        <v>85</v>
      </c>
      <c r="D672" s="4">
        <v>12</v>
      </c>
      <c r="E672" s="4" t="s">
        <v>31</v>
      </c>
      <c r="F672" s="4" t="s">
        <v>42</v>
      </c>
      <c r="G672" s="4" t="s">
        <v>37</v>
      </c>
      <c r="H672" s="4" t="s">
        <v>66</v>
      </c>
      <c r="I672" s="4" t="s">
        <v>65</v>
      </c>
      <c r="J672" s="5">
        <v>21</v>
      </c>
      <c r="K672" s="5">
        <v>246.87</v>
      </c>
      <c r="L672" s="5">
        <v>5184.2700000000004</v>
      </c>
      <c r="M672" s="5">
        <v>3214.25</v>
      </c>
      <c r="N672" s="5">
        <v>1970.02</v>
      </c>
    </row>
    <row r="673" spans="1:14">
      <c r="A673" s="2">
        <v>46013.416666666657</v>
      </c>
      <c r="B673" s="3">
        <v>2025</v>
      </c>
      <c r="C673" s="4" t="s">
        <v>85</v>
      </c>
      <c r="D673" s="4">
        <v>12</v>
      </c>
      <c r="E673" s="4" t="s">
        <v>31</v>
      </c>
      <c r="F673" s="4" t="s">
        <v>42</v>
      </c>
      <c r="G673" s="4" t="s">
        <v>35</v>
      </c>
      <c r="H673" s="4" t="s">
        <v>70</v>
      </c>
      <c r="I673" s="4" t="s">
        <v>68</v>
      </c>
      <c r="J673" s="5">
        <v>20</v>
      </c>
      <c r="K673" s="5">
        <v>26.03</v>
      </c>
      <c r="L673" s="5">
        <v>520.6</v>
      </c>
      <c r="M673" s="5">
        <v>322.77</v>
      </c>
      <c r="N673" s="5">
        <v>197.83</v>
      </c>
    </row>
    <row r="674" spans="1:14">
      <c r="A674" s="2">
        <v>44567.416666666657</v>
      </c>
      <c r="B674" s="3">
        <v>2022</v>
      </c>
      <c r="C674" s="4" t="s">
        <v>59</v>
      </c>
      <c r="D674" s="4">
        <v>1</v>
      </c>
      <c r="E674" s="4" t="s">
        <v>1</v>
      </c>
      <c r="F674" s="4" t="s">
        <v>44</v>
      </c>
      <c r="G674" s="4" t="s">
        <v>38</v>
      </c>
      <c r="H674" s="4" t="s">
        <v>72</v>
      </c>
      <c r="I674" s="4" t="s">
        <v>68</v>
      </c>
      <c r="J674" s="5">
        <v>5</v>
      </c>
      <c r="K674" s="5">
        <v>297.85000000000002</v>
      </c>
      <c r="L674" s="5">
        <v>1489.25</v>
      </c>
      <c r="M674" s="5">
        <v>923.34</v>
      </c>
      <c r="N674" s="5">
        <v>565.91</v>
      </c>
    </row>
    <row r="675" spans="1:14">
      <c r="A675" s="2">
        <v>44930.416666666657</v>
      </c>
      <c r="B675" s="3">
        <v>2023</v>
      </c>
      <c r="C675" s="4" t="s">
        <v>59</v>
      </c>
      <c r="D675" s="4">
        <v>1</v>
      </c>
      <c r="E675" s="4" t="s">
        <v>1</v>
      </c>
      <c r="F675" s="4" t="s">
        <v>44</v>
      </c>
      <c r="G675" s="4" t="s">
        <v>36</v>
      </c>
      <c r="H675" s="4" t="s">
        <v>81</v>
      </c>
      <c r="I675" s="4" t="s">
        <v>65</v>
      </c>
      <c r="J675" s="5">
        <v>23</v>
      </c>
      <c r="K675" s="5">
        <v>4083.22</v>
      </c>
      <c r="L675" s="5">
        <v>93914.06</v>
      </c>
      <c r="M675" s="5">
        <v>58226.720000000001</v>
      </c>
      <c r="N675" s="5">
        <v>35687.339999999997</v>
      </c>
    </row>
    <row r="676" spans="1:14">
      <c r="A676" s="2">
        <v>45297.416666666657</v>
      </c>
      <c r="B676" s="3">
        <v>2024</v>
      </c>
      <c r="C676" s="4" t="s">
        <v>59</v>
      </c>
      <c r="D676" s="4">
        <v>1</v>
      </c>
      <c r="E676" s="4" t="s">
        <v>1</v>
      </c>
      <c r="F676" s="4" t="s">
        <v>43</v>
      </c>
      <c r="G676" s="4" t="s">
        <v>39</v>
      </c>
      <c r="H676" s="4" t="s">
        <v>60</v>
      </c>
      <c r="I676" s="4" t="s">
        <v>71</v>
      </c>
      <c r="J676" s="5">
        <v>11</v>
      </c>
      <c r="K676" s="5">
        <v>6378.21</v>
      </c>
      <c r="L676" s="5">
        <v>70160.31</v>
      </c>
      <c r="M676" s="5">
        <v>43499.39</v>
      </c>
      <c r="N676" s="5">
        <v>26660.92</v>
      </c>
    </row>
    <row r="677" spans="1:14">
      <c r="A677" s="2">
        <v>45665.416666666657</v>
      </c>
      <c r="B677" s="3">
        <v>2025</v>
      </c>
      <c r="C677" s="4" t="s">
        <v>59</v>
      </c>
      <c r="D677" s="4">
        <v>1</v>
      </c>
      <c r="E677" s="4" t="s">
        <v>1</v>
      </c>
      <c r="F677" s="4" t="s">
        <v>43</v>
      </c>
      <c r="G677" s="4" t="s">
        <v>39</v>
      </c>
      <c r="H677" s="4" t="s">
        <v>89</v>
      </c>
      <c r="I677" s="4" t="s">
        <v>71</v>
      </c>
      <c r="J677" s="5">
        <v>13</v>
      </c>
      <c r="K677" s="5">
        <v>3315.38</v>
      </c>
      <c r="L677" s="5">
        <v>43099.94</v>
      </c>
      <c r="M677" s="5">
        <v>26721.96</v>
      </c>
      <c r="N677" s="5">
        <v>16377.98</v>
      </c>
    </row>
    <row r="678" spans="1:14">
      <c r="A678" s="2">
        <v>44604.416666666657</v>
      </c>
      <c r="B678" s="3">
        <v>2022</v>
      </c>
      <c r="C678" s="4" t="s">
        <v>59</v>
      </c>
      <c r="D678" s="4">
        <v>2</v>
      </c>
      <c r="E678" s="4" t="s">
        <v>2</v>
      </c>
      <c r="F678" s="4" t="s">
        <v>44</v>
      </c>
      <c r="G678" s="4" t="s">
        <v>36</v>
      </c>
      <c r="H678" s="4" t="s">
        <v>81</v>
      </c>
      <c r="I678" s="4" t="s">
        <v>63</v>
      </c>
      <c r="J678" s="5">
        <v>8</v>
      </c>
      <c r="K678" s="5">
        <v>2447.04</v>
      </c>
      <c r="L678" s="5">
        <v>19576.32</v>
      </c>
      <c r="M678" s="5">
        <v>12137.32</v>
      </c>
      <c r="N678" s="5">
        <v>7439</v>
      </c>
    </row>
    <row r="679" spans="1:14">
      <c r="A679" s="2">
        <v>44973.416666666657</v>
      </c>
      <c r="B679" s="3">
        <v>2023</v>
      </c>
      <c r="C679" s="4" t="s">
        <v>59</v>
      </c>
      <c r="D679" s="4">
        <v>2</v>
      </c>
      <c r="E679" s="4" t="s">
        <v>2</v>
      </c>
      <c r="F679" s="4" t="s">
        <v>44</v>
      </c>
      <c r="G679" s="4" t="s">
        <v>35</v>
      </c>
      <c r="H679" s="4" t="s">
        <v>64</v>
      </c>
      <c r="I679" s="4" t="s">
        <v>63</v>
      </c>
      <c r="J679" s="5">
        <v>8</v>
      </c>
      <c r="K679" s="5">
        <v>120.56</v>
      </c>
      <c r="L679" s="5">
        <v>964.48</v>
      </c>
      <c r="M679" s="5">
        <v>597.98</v>
      </c>
      <c r="N679" s="5">
        <v>366.5</v>
      </c>
    </row>
    <row r="680" spans="1:14">
      <c r="A680" s="2">
        <v>45345.416666666657</v>
      </c>
      <c r="B680" s="3">
        <v>2024</v>
      </c>
      <c r="C680" s="4" t="s">
        <v>59</v>
      </c>
      <c r="D680" s="4">
        <v>2</v>
      </c>
      <c r="E680" s="4" t="s">
        <v>2</v>
      </c>
      <c r="F680" s="4" t="s">
        <v>42</v>
      </c>
      <c r="G680" s="4" t="s">
        <v>39</v>
      </c>
      <c r="H680" s="4" t="s">
        <v>89</v>
      </c>
      <c r="I680" s="4" t="s">
        <v>71</v>
      </c>
      <c r="J680" s="5">
        <v>30</v>
      </c>
      <c r="K680" s="5">
        <v>4741.5600000000004</v>
      </c>
      <c r="L680" s="5">
        <v>142246.79999999999</v>
      </c>
      <c r="M680" s="5">
        <v>88193.02</v>
      </c>
      <c r="N680" s="5">
        <v>54053.78</v>
      </c>
    </row>
    <row r="681" spans="1:14">
      <c r="A681" s="2">
        <v>45689.416666666657</v>
      </c>
      <c r="B681" s="3">
        <v>2025</v>
      </c>
      <c r="C681" s="4" t="s">
        <v>59</v>
      </c>
      <c r="D681" s="4">
        <v>2</v>
      </c>
      <c r="E681" s="4" t="s">
        <v>2</v>
      </c>
      <c r="F681" s="4" t="s">
        <v>44</v>
      </c>
      <c r="G681" s="4" t="s">
        <v>38</v>
      </c>
      <c r="H681" s="4" t="s">
        <v>83</v>
      </c>
      <c r="I681" s="4" t="s">
        <v>86</v>
      </c>
      <c r="J681" s="5">
        <v>19</v>
      </c>
      <c r="K681" s="5">
        <v>274.83</v>
      </c>
      <c r="L681" s="5">
        <v>5221.7700000000004</v>
      </c>
      <c r="M681" s="5">
        <v>3237.5</v>
      </c>
      <c r="N681" s="5">
        <v>1984.27</v>
      </c>
    </row>
    <row r="682" spans="1:14">
      <c r="A682" s="2">
        <v>44645.416666666657</v>
      </c>
      <c r="B682" s="3">
        <v>2022</v>
      </c>
      <c r="C682" s="4" t="s">
        <v>59</v>
      </c>
      <c r="D682" s="4">
        <v>3</v>
      </c>
      <c r="E682" s="4" t="s">
        <v>13</v>
      </c>
      <c r="F682" s="4" t="s">
        <v>41</v>
      </c>
      <c r="G682" s="4" t="s">
        <v>36</v>
      </c>
      <c r="H682" s="4" t="s">
        <v>91</v>
      </c>
      <c r="I682" s="4" t="s">
        <v>71</v>
      </c>
      <c r="J682" s="5">
        <v>3</v>
      </c>
      <c r="K682" s="5">
        <v>526.39</v>
      </c>
      <c r="L682" s="5">
        <v>1579.17</v>
      </c>
      <c r="M682" s="5">
        <v>979.09</v>
      </c>
      <c r="N682" s="5">
        <v>600.08000000000004</v>
      </c>
    </row>
    <row r="683" spans="1:14">
      <c r="A683" s="2">
        <v>45012.416666666657</v>
      </c>
      <c r="B683" s="3">
        <v>2023</v>
      </c>
      <c r="C683" s="4" t="s">
        <v>59</v>
      </c>
      <c r="D683" s="4">
        <v>3</v>
      </c>
      <c r="E683" s="4" t="s">
        <v>13</v>
      </c>
      <c r="F683" s="4" t="s">
        <v>43</v>
      </c>
      <c r="G683" s="4" t="s">
        <v>35</v>
      </c>
      <c r="H683" s="4" t="s">
        <v>64</v>
      </c>
      <c r="I683" s="4" t="s">
        <v>65</v>
      </c>
      <c r="J683" s="5">
        <v>5</v>
      </c>
      <c r="K683" s="5">
        <v>43.07</v>
      </c>
      <c r="L683" s="5">
        <v>215.35</v>
      </c>
      <c r="M683" s="5">
        <v>133.52000000000001</v>
      </c>
      <c r="N683" s="5">
        <v>81.83</v>
      </c>
    </row>
    <row r="684" spans="1:14">
      <c r="A684" s="2">
        <v>45360.416666666657</v>
      </c>
      <c r="B684" s="3">
        <v>2024</v>
      </c>
      <c r="C684" s="4" t="s">
        <v>59</v>
      </c>
      <c r="D684" s="4">
        <v>3</v>
      </c>
      <c r="E684" s="4" t="s">
        <v>13</v>
      </c>
      <c r="F684" s="4" t="s">
        <v>43</v>
      </c>
      <c r="G684" s="4" t="s">
        <v>36</v>
      </c>
      <c r="H684" s="4" t="s">
        <v>91</v>
      </c>
      <c r="I684" s="4" t="s">
        <v>86</v>
      </c>
      <c r="J684" s="5">
        <v>14</v>
      </c>
      <c r="K684" s="5">
        <v>763.16</v>
      </c>
      <c r="L684" s="5">
        <v>10684.24</v>
      </c>
      <c r="M684" s="5">
        <v>6624.23</v>
      </c>
      <c r="N684" s="5">
        <v>4060.01</v>
      </c>
    </row>
    <row r="685" spans="1:14">
      <c r="A685" s="2">
        <v>45733.416666666657</v>
      </c>
      <c r="B685" s="3">
        <v>2025</v>
      </c>
      <c r="C685" s="4" t="s">
        <v>59</v>
      </c>
      <c r="D685" s="4">
        <v>3</v>
      </c>
      <c r="E685" s="4" t="s">
        <v>13</v>
      </c>
      <c r="F685" s="4" t="s">
        <v>41</v>
      </c>
      <c r="G685" s="4" t="s">
        <v>35</v>
      </c>
      <c r="H685" s="4" t="s">
        <v>92</v>
      </c>
      <c r="I685" s="4" t="s">
        <v>68</v>
      </c>
      <c r="J685" s="5">
        <v>24</v>
      </c>
      <c r="K685" s="5">
        <v>136.4</v>
      </c>
      <c r="L685" s="5">
        <v>3273.6</v>
      </c>
      <c r="M685" s="5">
        <v>2029.63</v>
      </c>
      <c r="N685" s="5">
        <v>1243.97</v>
      </c>
    </row>
    <row r="686" spans="1:14">
      <c r="A686" s="2">
        <v>44656.416666666657</v>
      </c>
      <c r="B686" s="3">
        <v>2022</v>
      </c>
      <c r="C686" s="4" t="s">
        <v>76</v>
      </c>
      <c r="D686" s="4">
        <v>4</v>
      </c>
      <c r="E686" s="4" t="s">
        <v>17</v>
      </c>
      <c r="F686" s="4" t="s">
        <v>43</v>
      </c>
      <c r="G686" s="4" t="s">
        <v>37</v>
      </c>
      <c r="H686" s="4" t="s">
        <v>93</v>
      </c>
      <c r="I686" s="4" t="s">
        <v>86</v>
      </c>
      <c r="J686" s="5">
        <v>8</v>
      </c>
      <c r="K686" s="5">
        <v>233.28</v>
      </c>
      <c r="L686" s="5">
        <v>1866.24</v>
      </c>
      <c r="M686" s="5">
        <v>1157.07</v>
      </c>
      <c r="N686" s="5">
        <v>709.17</v>
      </c>
    </row>
    <row r="687" spans="1:14">
      <c r="A687" s="2">
        <v>45038.416666666657</v>
      </c>
      <c r="B687" s="3">
        <v>2023</v>
      </c>
      <c r="C687" s="4" t="s">
        <v>76</v>
      </c>
      <c r="D687" s="4">
        <v>4</v>
      </c>
      <c r="E687" s="4" t="s">
        <v>17</v>
      </c>
      <c r="F687" s="4" t="s">
        <v>42</v>
      </c>
      <c r="G687" s="4" t="s">
        <v>39</v>
      </c>
      <c r="H687" s="4" t="s">
        <v>89</v>
      </c>
      <c r="I687" s="4" t="s">
        <v>68</v>
      </c>
      <c r="J687" s="5">
        <v>24</v>
      </c>
      <c r="K687" s="5">
        <v>5144.8999999999996</v>
      </c>
      <c r="L687" s="5">
        <v>123477.6</v>
      </c>
      <c r="M687" s="5">
        <v>76556.11</v>
      </c>
      <c r="N687" s="5">
        <v>46921.49</v>
      </c>
    </row>
    <row r="688" spans="1:14">
      <c r="A688" s="2">
        <v>45396.416666666657</v>
      </c>
      <c r="B688" s="3">
        <v>2024</v>
      </c>
      <c r="C688" s="4" t="s">
        <v>76</v>
      </c>
      <c r="D688" s="4">
        <v>4</v>
      </c>
      <c r="E688" s="4" t="s">
        <v>17</v>
      </c>
      <c r="F688" s="4" t="s">
        <v>41</v>
      </c>
      <c r="G688" s="4" t="s">
        <v>39</v>
      </c>
      <c r="H688" s="4" t="s">
        <v>60</v>
      </c>
      <c r="I688" s="4" t="s">
        <v>68</v>
      </c>
      <c r="J688" s="5">
        <v>7</v>
      </c>
      <c r="K688" s="5">
        <v>6084.82</v>
      </c>
      <c r="L688" s="5">
        <v>42593.74</v>
      </c>
      <c r="M688" s="5">
        <v>26408.12</v>
      </c>
      <c r="N688" s="5">
        <v>16185.62</v>
      </c>
    </row>
    <row r="689" spans="1:14">
      <c r="A689" s="2">
        <v>45765.416666666657</v>
      </c>
      <c r="B689" s="3">
        <v>2025</v>
      </c>
      <c r="C689" s="4" t="s">
        <v>76</v>
      </c>
      <c r="D689" s="4">
        <v>4</v>
      </c>
      <c r="E689" s="4" t="s">
        <v>17</v>
      </c>
      <c r="F689" s="4" t="s">
        <v>42</v>
      </c>
      <c r="G689" s="4" t="s">
        <v>35</v>
      </c>
      <c r="H689" s="4" t="s">
        <v>90</v>
      </c>
      <c r="I689" s="4" t="s">
        <v>68</v>
      </c>
      <c r="J689" s="5">
        <v>19</v>
      </c>
      <c r="K689" s="5">
        <v>109.8</v>
      </c>
      <c r="L689" s="5">
        <v>2086.1999999999998</v>
      </c>
      <c r="M689" s="5">
        <v>1293.44</v>
      </c>
      <c r="N689" s="5">
        <v>792.76</v>
      </c>
    </row>
    <row r="690" spans="1:14">
      <c r="A690" s="2">
        <v>44709.416666666657</v>
      </c>
      <c r="B690" s="3">
        <v>2022</v>
      </c>
      <c r="C690" s="4" t="s">
        <v>76</v>
      </c>
      <c r="D690" s="4">
        <v>5</v>
      </c>
      <c r="E690" s="4" t="s">
        <v>18</v>
      </c>
      <c r="F690" s="4" t="s">
        <v>43</v>
      </c>
      <c r="G690" s="4" t="s">
        <v>35</v>
      </c>
      <c r="H690" s="4" t="s">
        <v>92</v>
      </c>
      <c r="I690" s="4" t="s">
        <v>63</v>
      </c>
      <c r="J690" s="5">
        <v>3</v>
      </c>
      <c r="K690" s="5">
        <v>57.78</v>
      </c>
      <c r="L690" s="5">
        <v>173.34</v>
      </c>
      <c r="M690" s="5">
        <v>107.47</v>
      </c>
      <c r="N690" s="5">
        <v>65.87</v>
      </c>
    </row>
    <row r="691" spans="1:14">
      <c r="A691" s="2">
        <v>45052.416666666657</v>
      </c>
      <c r="B691" s="3">
        <v>2023</v>
      </c>
      <c r="C691" s="4" t="s">
        <v>76</v>
      </c>
      <c r="D691" s="4">
        <v>5</v>
      </c>
      <c r="E691" s="4" t="s">
        <v>18</v>
      </c>
      <c r="F691" s="4" t="s">
        <v>41</v>
      </c>
      <c r="G691" s="4" t="s">
        <v>39</v>
      </c>
      <c r="H691" s="4" t="s">
        <v>82</v>
      </c>
      <c r="I691" s="4" t="s">
        <v>86</v>
      </c>
      <c r="J691" s="5">
        <v>21</v>
      </c>
      <c r="K691" s="5">
        <v>3078.48</v>
      </c>
      <c r="L691" s="5">
        <v>64648.08</v>
      </c>
      <c r="M691" s="5">
        <v>40081.81</v>
      </c>
      <c r="N691" s="5">
        <v>24566.27</v>
      </c>
    </row>
    <row r="692" spans="1:14">
      <c r="A692" s="2">
        <v>45426.416666666657</v>
      </c>
      <c r="B692" s="3">
        <v>2024</v>
      </c>
      <c r="C692" s="4" t="s">
        <v>76</v>
      </c>
      <c r="D692" s="4">
        <v>5</v>
      </c>
      <c r="E692" s="4" t="s">
        <v>18</v>
      </c>
      <c r="F692" s="4" t="s">
        <v>41</v>
      </c>
      <c r="G692" s="4" t="s">
        <v>38</v>
      </c>
      <c r="H692" s="4" t="s">
        <v>88</v>
      </c>
      <c r="I692" s="4" t="s">
        <v>68</v>
      </c>
      <c r="J692" s="5">
        <v>25</v>
      </c>
      <c r="K692" s="5">
        <v>231.69</v>
      </c>
      <c r="L692" s="5">
        <v>5792.25</v>
      </c>
      <c r="M692" s="5">
        <v>3591.2</v>
      </c>
      <c r="N692" s="5">
        <v>2201.0500000000002</v>
      </c>
    </row>
    <row r="693" spans="1:14">
      <c r="A693" s="2">
        <v>45797.416666666657</v>
      </c>
      <c r="B693" s="3">
        <v>2025</v>
      </c>
      <c r="C693" s="4" t="s">
        <v>76</v>
      </c>
      <c r="D693" s="4">
        <v>5</v>
      </c>
      <c r="E693" s="4" t="s">
        <v>18</v>
      </c>
      <c r="F693" s="4" t="s">
        <v>41</v>
      </c>
      <c r="G693" s="4" t="s">
        <v>36</v>
      </c>
      <c r="H693" s="4" t="s">
        <v>81</v>
      </c>
      <c r="I693" s="4" t="s">
        <v>65</v>
      </c>
      <c r="J693" s="5">
        <v>7</v>
      </c>
      <c r="K693" s="5">
        <v>4083.88</v>
      </c>
      <c r="L693" s="5">
        <v>28587.16</v>
      </c>
      <c r="M693" s="5">
        <v>17724.04</v>
      </c>
      <c r="N693" s="5">
        <v>10863.12</v>
      </c>
    </row>
    <row r="694" spans="1:14">
      <c r="A694" s="2">
        <v>44723.416666666657</v>
      </c>
      <c r="B694" s="3">
        <v>2022</v>
      </c>
      <c r="C694" s="4" t="s">
        <v>76</v>
      </c>
      <c r="D694" s="4">
        <v>6</v>
      </c>
      <c r="E694" s="4" t="s">
        <v>19</v>
      </c>
      <c r="F694" s="4" t="s">
        <v>42</v>
      </c>
      <c r="G694" s="4" t="s">
        <v>36</v>
      </c>
      <c r="H694" s="4" t="s">
        <v>67</v>
      </c>
      <c r="I694" s="4" t="s">
        <v>68</v>
      </c>
      <c r="J694" s="5">
        <v>9</v>
      </c>
      <c r="K694" s="5">
        <v>751.56</v>
      </c>
      <c r="L694" s="5">
        <v>6764.04</v>
      </c>
      <c r="M694" s="5">
        <v>4193.7</v>
      </c>
      <c r="N694" s="5">
        <v>2570.34</v>
      </c>
    </row>
    <row r="695" spans="1:14">
      <c r="A695" s="2">
        <v>45088.416666666657</v>
      </c>
      <c r="B695" s="3">
        <v>2023</v>
      </c>
      <c r="C695" s="4" t="s">
        <v>76</v>
      </c>
      <c r="D695" s="4">
        <v>6</v>
      </c>
      <c r="E695" s="4" t="s">
        <v>19</v>
      </c>
      <c r="F695" s="4" t="s">
        <v>43</v>
      </c>
      <c r="G695" s="4" t="s">
        <v>35</v>
      </c>
      <c r="H695" s="4" t="s">
        <v>92</v>
      </c>
      <c r="I695" s="4" t="s">
        <v>61</v>
      </c>
      <c r="J695" s="5">
        <v>3</v>
      </c>
      <c r="K695" s="5">
        <v>92.43</v>
      </c>
      <c r="L695" s="5">
        <v>277.29000000000002</v>
      </c>
      <c r="M695" s="5">
        <v>171.92</v>
      </c>
      <c r="N695" s="5">
        <v>105.37</v>
      </c>
    </row>
    <row r="696" spans="1:14">
      <c r="A696" s="2">
        <v>45449.416666666657</v>
      </c>
      <c r="B696" s="3">
        <v>2024</v>
      </c>
      <c r="C696" s="4" t="s">
        <v>76</v>
      </c>
      <c r="D696" s="4">
        <v>6</v>
      </c>
      <c r="E696" s="4" t="s">
        <v>19</v>
      </c>
      <c r="F696" s="4" t="s">
        <v>43</v>
      </c>
      <c r="G696" s="4" t="s">
        <v>36</v>
      </c>
      <c r="H696" s="4" t="s">
        <v>73</v>
      </c>
      <c r="I696" s="4" t="s">
        <v>71</v>
      </c>
      <c r="J696" s="5">
        <v>25</v>
      </c>
      <c r="K696" s="5">
        <v>4728.74</v>
      </c>
      <c r="L696" s="5">
        <v>118218.5</v>
      </c>
      <c r="M696" s="5">
        <v>73295.47</v>
      </c>
      <c r="N696" s="5">
        <v>44923.03</v>
      </c>
    </row>
    <row r="697" spans="1:14">
      <c r="A697" s="2">
        <v>45820.416666666657</v>
      </c>
      <c r="B697" s="3">
        <v>2025</v>
      </c>
      <c r="C697" s="4" t="s">
        <v>76</v>
      </c>
      <c r="D697" s="4">
        <v>6</v>
      </c>
      <c r="E697" s="4" t="s">
        <v>19</v>
      </c>
      <c r="F697" s="4" t="s">
        <v>42</v>
      </c>
      <c r="G697" s="4" t="s">
        <v>39</v>
      </c>
      <c r="H697" s="4" t="s">
        <v>89</v>
      </c>
      <c r="I697" s="4" t="s">
        <v>68</v>
      </c>
      <c r="J697" s="5">
        <v>3</v>
      </c>
      <c r="K697" s="5">
        <v>765.75</v>
      </c>
      <c r="L697" s="5">
        <v>2297.25</v>
      </c>
      <c r="M697" s="5">
        <v>1424.3</v>
      </c>
      <c r="N697" s="5">
        <v>872.95</v>
      </c>
    </row>
    <row r="698" spans="1:14">
      <c r="A698" s="2">
        <v>44767.416666666657</v>
      </c>
      <c r="B698" s="3">
        <v>2022</v>
      </c>
      <c r="C698" s="4" t="s">
        <v>80</v>
      </c>
      <c r="D698" s="4">
        <v>7</v>
      </c>
      <c r="E698" s="4" t="s">
        <v>21</v>
      </c>
      <c r="F698" s="4" t="s">
        <v>40</v>
      </c>
      <c r="G698" s="4" t="s">
        <v>39</v>
      </c>
      <c r="H698" s="4" t="s">
        <v>79</v>
      </c>
      <c r="I698" s="4" t="s">
        <v>71</v>
      </c>
      <c r="J698" s="5">
        <v>9</v>
      </c>
      <c r="K698" s="5">
        <v>5875.46</v>
      </c>
      <c r="L698" s="5">
        <v>52879.14</v>
      </c>
      <c r="M698" s="5">
        <v>32785.07</v>
      </c>
      <c r="N698" s="5">
        <v>20094.07</v>
      </c>
    </row>
    <row r="699" spans="1:14">
      <c r="A699" s="2">
        <v>45110.416666666657</v>
      </c>
      <c r="B699" s="3">
        <v>2023</v>
      </c>
      <c r="C699" s="4" t="s">
        <v>80</v>
      </c>
      <c r="D699" s="4">
        <v>7</v>
      </c>
      <c r="E699" s="4" t="s">
        <v>21</v>
      </c>
      <c r="F699" s="4" t="s">
        <v>44</v>
      </c>
      <c r="G699" s="4" t="s">
        <v>36</v>
      </c>
      <c r="H699" s="4" t="s">
        <v>67</v>
      </c>
      <c r="I699" s="4" t="s">
        <v>63</v>
      </c>
      <c r="J699" s="5">
        <v>20</v>
      </c>
      <c r="K699" s="5">
        <v>1219.3599999999999</v>
      </c>
      <c r="L699" s="5">
        <v>24387.200000000001</v>
      </c>
      <c r="M699" s="5">
        <v>15120.06</v>
      </c>
      <c r="N699" s="5">
        <v>9267.14</v>
      </c>
    </row>
    <row r="700" spans="1:14">
      <c r="A700" s="2">
        <v>45491.416666666657</v>
      </c>
      <c r="B700" s="3">
        <v>2024</v>
      </c>
      <c r="C700" s="4" t="s">
        <v>80</v>
      </c>
      <c r="D700" s="4">
        <v>7</v>
      </c>
      <c r="E700" s="4" t="s">
        <v>21</v>
      </c>
      <c r="F700" s="4" t="s">
        <v>42</v>
      </c>
      <c r="G700" s="4" t="s">
        <v>35</v>
      </c>
      <c r="H700" s="4" t="s">
        <v>69</v>
      </c>
      <c r="I700" s="4" t="s">
        <v>63</v>
      </c>
      <c r="J700" s="5">
        <v>36</v>
      </c>
      <c r="K700" s="5">
        <v>116.19</v>
      </c>
      <c r="L700" s="5">
        <v>4182.84</v>
      </c>
      <c r="M700" s="5">
        <v>2593.36</v>
      </c>
      <c r="N700" s="5">
        <v>1589.48</v>
      </c>
    </row>
    <row r="701" spans="1:14">
      <c r="A701" s="2">
        <v>45844.416666666657</v>
      </c>
      <c r="B701" s="3">
        <v>2025</v>
      </c>
      <c r="C701" s="4" t="s">
        <v>80</v>
      </c>
      <c r="D701" s="4">
        <v>7</v>
      </c>
      <c r="E701" s="4" t="s">
        <v>21</v>
      </c>
      <c r="F701" s="4" t="s">
        <v>40</v>
      </c>
      <c r="G701" s="4" t="s">
        <v>35</v>
      </c>
      <c r="H701" s="4" t="s">
        <v>64</v>
      </c>
      <c r="I701" s="4" t="s">
        <v>63</v>
      </c>
      <c r="J701" s="5">
        <v>6</v>
      </c>
      <c r="K701" s="5">
        <v>100.28</v>
      </c>
      <c r="L701" s="5">
        <v>601.67999999999995</v>
      </c>
      <c r="M701" s="5">
        <v>373.04</v>
      </c>
      <c r="N701" s="5">
        <v>228.64</v>
      </c>
    </row>
    <row r="702" spans="1:14">
      <c r="A702" s="2">
        <v>44779.416666666657</v>
      </c>
      <c r="B702" s="3">
        <v>2022</v>
      </c>
      <c r="C702" s="4" t="s">
        <v>80</v>
      </c>
      <c r="D702" s="4">
        <v>8</v>
      </c>
      <c r="E702" s="4" t="s">
        <v>22</v>
      </c>
      <c r="F702" s="4" t="s">
        <v>42</v>
      </c>
      <c r="G702" s="4" t="s">
        <v>37</v>
      </c>
      <c r="H702" s="4" t="s">
        <v>93</v>
      </c>
      <c r="I702" s="4" t="s">
        <v>63</v>
      </c>
      <c r="J702" s="5">
        <v>17</v>
      </c>
      <c r="K702" s="5">
        <v>128.4</v>
      </c>
      <c r="L702" s="5">
        <v>2182.8000000000002</v>
      </c>
      <c r="M702" s="5">
        <v>1353.34</v>
      </c>
      <c r="N702" s="5">
        <v>829.46</v>
      </c>
    </row>
    <row r="703" spans="1:14">
      <c r="A703" s="2">
        <v>45156.416666666657</v>
      </c>
      <c r="B703" s="3">
        <v>2023</v>
      </c>
      <c r="C703" s="4" t="s">
        <v>80</v>
      </c>
      <c r="D703" s="4">
        <v>8</v>
      </c>
      <c r="E703" s="4" t="s">
        <v>22</v>
      </c>
      <c r="F703" s="4" t="s">
        <v>40</v>
      </c>
      <c r="G703" s="4" t="s">
        <v>38</v>
      </c>
      <c r="H703" s="4" t="s">
        <v>83</v>
      </c>
      <c r="I703" s="4" t="s">
        <v>71</v>
      </c>
      <c r="J703" s="5">
        <v>26</v>
      </c>
      <c r="K703" s="5">
        <v>268.12</v>
      </c>
      <c r="L703" s="5">
        <v>6971.12</v>
      </c>
      <c r="M703" s="5">
        <v>4322.09</v>
      </c>
      <c r="N703" s="5">
        <v>2649.03</v>
      </c>
    </row>
    <row r="704" spans="1:14">
      <c r="A704" s="2">
        <v>45526.416666666657</v>
      </c>
      <c r="B704" s="3">
        <v>2024</v>
      </c>
      <c r="C704" s="4" t="s">
        <v>80</v>
      </c>
      <c r="D704" s="4">
        <v>8</v>
      </c>
      <c r="E704" s="4" t="s">
        <v>22</v>
      </c>
      <c r="F704" s="4" t="s">
        <v>44</v>
      </c>
      <c r="G704" s="4" t="s">
        <v>39</v>
      </c>
      <c r="H704" s="4" t="s">
        <v>89</v>
      </c>
      <c r="I704" s="4" t="s">
        <v>86</v>
      </c>
      <c r="J704" s="5">
        <v>8</v>
      </c>
      <c r="K704" s="5">
        <v>2361.75</v>
      </c>
      <c r="L704" s="5">
        <v>18894</v>
      </c>
      <c r="M704" s="5">
        <v>11714.28</v>
      </c>
      <c r="N704" s="5">
        <v>7179.72</v>
      </c>
    </row>
    <row r="705" spans="1:14">
      <c r="A705" s="2">
        <v>45882.416666666657</v>
      </c>
      <c r="B705" s="3">
        <v>2025</v>
      </c>
      <c r="C705" s="4" t="s">
        <v>80</v>
      </c>
      <c r="D705" s="4">
        <v>8</v>
      </c>
      <c r="E705" s="4" t="s">
        <v>22</v>
      </c>
      <c r="F705" s="4" t="s">
        <v>41</v>
      </c>
      <c r="G705" s="4" t="s">
        <v>39</v>
      </c>
      <c r="H705" s="4" t="s">
        <v>82</v>
      </c>
      <c r="I705" s="4" t="s">
        <v>68</v>
      </c>
      <c r="J705" s="5">
        <v>19</v>
      </c>
      <c r="K705" s="5">
        <v>5021.67</v>
      </c>
      <c r="L705" s="5">
        <v>95411.73</v>
      </c>
      <c r="M705" s="5">
        <v>59155.27</v>
      </c>
      <c r="N705" s="5">
        <v>36256.46</v>
      </c>
    </row>
    <row r="706" spans="1:14">
      <c r="A706" s="2">
        <v>44822.416666666657</v>
      </c>
      <c r="B706" s="3">
        <v>2022</v>
      </c>
      <c r="C706" s="4" t="s">
        <v>80</v>
      </c>
      <c r="D706" s="4">
        <v>9</v>
      </c>
      <c r="E706" s="4" t="s">
        <v>23</v>
      </c>
      <c r="F706" s="4" t="s">
        <v>43</v>
      </c>
      <c r="G706" s="4" t="s">
        <v>36</v>
      </c>
      <c r="H706" s="4" t="s">
        <v>75</v>
      </c>
      <c r="I706" s="4" t="s">
        <v>61</v>
      </c>
      <c r="J706" s="5">
        <v>10</v>
      </c>
      <c r="K706" s="5">
        <v>3372.18</v>
      </c>
      <c r="L706" s="5">
        <v>33721.800000000003</v>
      </c>
      <c r="M706" s="5">
        <v>20907.52</v>
      </c>
      <c r="N706" s="5">
        <v>12814.28</v>
      </c>
    </row>
    <row r="707" spans="1:14">
      <c r="A707" s="2">
        <v>45193.416666666657</v>
      </c>
      <c r="B707" s="3">
        <v>2023</v>
      </c>
      <c r="C707" s="4" t="s">
        <v>80</v>
      </c>
      <c r="D707" s="4">
        <v>9</v>
      </c>
      <c r="E707" s="4" t="s">
        <v>23</v>
      </c>
      <c r="F707" s="4" t="s">
        <v>41</v>
      </c>
      <c r="G707" s="4" t="s">
        <v>35</v>
      </c>
      <c r="H707" s="4" t="s">
        <v>69</v>
      </c>
      <c r="I707" s="4" t="s">
        <v>71</v>
      </c>
      <c r="J707" s="5">
        <v>19</v>
      </c>
      <c r="K707" s="5">
        <v>29.14</v>
      </c>
      <c r="L707" s="5">
        <v>553.66</v>
      </c>
      <c r="M707" s="5">
        <v>343.27</v>
      </c>
      <c r="N707" s="5">
        <v>210.39</v>
      </c>
    </row>
    <row r="708" spans="1:14">
      <c r="A708" s="2">
        <v>45536.416666666657</v>
      </c>
      <c r="B708" s="3">
        <v>2024</v>
      </c>
      <c r="C708" s="4" t="s">
        <v>80</v>
      </c>
      <c r="D708" s="4">
        <v>9</v>
      </c>
      <c r="E708" s="4" t="s">
        <v>23</v>
      </c>
      <c r="F708" s="4" t="s">
        <v>41</v>
      </c>
      <c r="G708" s="4" t="s">
        <v>37</v>
      </c>
      <c r="H708" s="4" t="s">
        <v>66</v>
      </c>
      <c r="I708" s="4" t="s">
        <v>86</v>
      </c>
      <c r="J708" s="5">
        <v>22</v>
      </c>
      <c r="K708" s="5">
        <v>192.98</v>
      </c>
      <c r="L708" s="5">
        <v>4245.5600000000004</v>
      </c>
      <c r="M708" s="5">
        <v>2632.25</v>
      </c>
      <c r="N708" s="5">
        <v>1613.31</v>
      </c>
    </row>
    <row r="709" spans="1:14">
      <c r="A709" s="2">
        <v>45903.416666666657</v>
      </c>
      <c r="B709" s="3">
        <v>2025</v>
      </c>
      <c r="C709" s="4" t="s">
        <v>80</v>
      </c>
      <c r="D709" s="4">
        <v>9</v>
      </c>
      <c r="E709" s="4" t="s">
        <v>23</v>
      </c>
      <c r="F709" s="4" t="s">
        <v>40</v>
      </c>
      <c r="G709" s="4" t="s">
        <v>39</v>
      </c>
      <c r="H709" s="4" t="s">
        <v>78</v>
      </c>
      <c r="I709" s="4" t="s">
        <v>86</v>
      </c>
      <c r="J709" s="5">
        <v>35</v>
      </c>
      <c r="K709" s="5">
        <v>3583.92</v>
      </c>
      <c r="L709" s="5">
        <v>125437.2</v>
      </c>
      <c r="M709" s="5">
        <v>77771.06</v>
      </c>
      <c r="N709" s="5">
        <v>47666.14</v>
      </c>
    </row>
    <row r="710" spans="1:14">
      <c r="A710" s="2">
        <v>44836.416666666657</v>
      </c>
      <c r="B710" s="3">
        <v>2022</v>
      </c>
      <c r="C710" s="4" t="s">
        <v>85</v>
      </c>
      <c r="D710" s="4">
        <v>10</v>
      </c>
      <c r="E710" s="4" t="s">
        <v>29</v>
      </c>
      <c r="F710" s="4" t="s">
        <v>44</v>
      </c>
      <c r="G710" s="4" t="s">
        <v>36</v>
      </c>
      <c r="H710" s="4" t="s">
        <v>67</v>
      </c>
      <c r="I710" s="4" t="s">
        <v>86</v>
      </c>
      <c r="J710" s="5">
        <v>10</v>
      </c>
      <c r="K710" s="5">
        <v>1057.7</v>
      </c>
      <c r="L710" s="5">
        <v>10577</v>
      </c>
      <c r="M710" s="5">
        <v>6557.74</v>
      </c>
      <c r="N710" s="5">
        <v>4019.26</v>
      </c>
    </row>
    <row r="711" spans="1:14">
      <c r="A711" s="2">
        <v>45222.416666666657</v>
      </c>
      <c r="B711" s="3">
        <v>2023</v>
      </c>
      <c r="C711" s="4" t="s">
        <v>85</v>
      </c>
      <c r="D711" s="4">
        <v>10</v>
      </c>
      <c r="E711" s="4" t="s">
        <v>29</v>
      </c>
      <c r="F711" s="4" t="s">
        <v>44</v>
      </c>
      <c r="G711" s="4" t="s">
        <v>37</v>
      </c>
      <c r="H711" s="4" t="s">
        <v>87</v>
      </c>
      <c r="I711" s="4" t="s">
        <v>68</v>
      </c>
      <c r="J711" s="5">
        <v>16</v>
      </c>
      <c r="K711" s="5">
        <v>274.89</v>
      </c>
      <c r="L711" s="5">
        <v>4398.24</v>
      </c>
      <c r="M711" s="5">
        <v>2726.91</v>
      </c>
      <c r="N711" s="5">
        <v>1671.33</v>
      </c>
    </row>
    <row r="712" spans="1:14">
      <c r="A712" s="2">
        <v>45593.416666666657</v>
      </c>
      <c r="B712" s="3">
        <v>2024</v>
      </c>
      <c r="C712" s="4" t="s">
        <v>85</v>
      </c>
      <c r="D712" s="4">
        <v>10</v>
      </c>
      <c r="E712" s="4" t="s">
        <v>29</v>
      </c>
      <c r="F712" s="4" t="s">
        <v>44</v>
      </c>
      <c r="G712" s="4" t="s">
        <v>38</v>
      </c>
      <c r="H712" s="4" t="s">
        <v>88</v>
      </c>
      <c r="I712" s="4" t="s">
        <v>71</v>
      </c>
      <c r="J712" s="5">
        <v>26</v>
      </c>
      <c r="K712" s="5">
        <v>147.72999999999999</v>
      </c>
      <c r="L712" s="5">
        <v>3840.98</v>
      </c>
      <c r="M712" s="5">
        <v>2381.41</v>
      </c>
      <c r="N712" s="5">
        <v>1459.57</v>
      </c>
    </row>
    <row r="713" spans="1:14">
      <c r="A713" s="2">
        <v>45942.416666666657</v>
      </c>
      <c r="B713" s="3">
        <v>2025</v>
      </c>
      <c r="C713" s="4" t="s">
        <v>85</v>
      </c>
      <c r="D713" s="4">
        <v>10</v>
      </c>
      <c r="E713" s="4" t="s">
        <v>29</v>
      </c>
      <c r="F713" s="4" t="s">
        <v>42</v>
      </c>
      <c r="G713" s="4" t="s">
        <v>37</v>
      </c>
      <c r="H713" s="4" t="s">
        <v>62</v>
      </c>
      <c r="I713" s="4" t="s">
        <v>61</v>
      </c>
      <c r="J713" s="5">
        <v>30</v>
      </c>
      <c r="K713" s="5">
        <v>215.21</v>
      </c>
      <c r="L713" s="5">
        <v>6456.3</v>
      </c>
      <c r="M713" s="5">
        <v>4002.91</v>
      </c>
      <c r="N713" s="5">
        <v>2453.39</v>
      </c>
    </row>
    <row r="714" spans="1:14">
      <c r="A714" s="2">
        <v>44883.416666666657</v>
      </c>
      <c r="B714" s="3">
        <v>2022</v>
      </c>
      <c r="C714" s="4" t="s">
        <v>85</v>
      </c>
      <c r="D714" s="4">
        <v>11</v>
      </c>
      <c r="E714" s="4" t="s">
        <v>30</v>
      </c>
      <c r="F714" s="4" t="s">
        <v>41</v>
      </c>
      <c r="G714" s="4" t="s">
        <v>39</v>
      </c>
      <c r="H714" s="4" t="s">
        <v>89</v>
      </c>
      <c r="I714" s="4" t="s">
        <v>61</v>
      </c>
      <c r="J714" s="5">
        <v>19</v>
      </c>
      <c r="K714" s="5">
        <v>6244.07</v>
      </c>
      <c r="L714" s="5">
        <v>118637.33</v>
      </c>
      <c r="M714" s="5">
        <v>73555.14</v>
      </c>
      <c r="N714" s="5">
        <v>45082.19</v>
      </c>
    </row>
    <row r="715" spans="1:14">
      <c r="A715" s="2">
        <v>45241.416666666657</v>
      </c>
      <c r="B715" s="3">
        <v>2023</v>
      </c>
      <c r="C715" s="4" t="s">
        <v>85</v>
      </c>
      <c r="D715" s="4">
        <v>11</v>
      </c>
      <c r="E715" s="4" t="s">
        <v>30</v>
      </c>
      <c r="F715" s="4" t="s">
        <v>42</v>
      </c>
      <c r="G715" s="4" t="s">
        <v>37</v>
      </c>
      <c r="H715" s="4" t="s">
        <v>93</v>
      </c>
      <c r="I715" s="4" t="s">
        <v>61</v>
      </c>
      <c r="J715" s="5">
        <v>10</v>
      </c>
      <c r="K715" s="5">
        <v>319.31</v>
      </c>
      <c r="L715" s="5">
        <v>3193.1</v>
      </c>
      <c r="M715" s="5">
        <v>1979.72</v>
      </c>
      <c r="N715" s="5">
        <v>1213.3800000000001</v>
      </c>
    </row>
    <row r="716" spans="1:14">
      <c r="A716" s="2">
        <v>45608.416666666657</v>
      </c>
      <c r="B716" s="3">
        <v>2024</v>
      </c>
      <c r="C716" s="4" t="s">
        <v>85</v>
      </c>
      <c r="D716" s="4">
        <v>11</v>
      </c>
      <c r="E716" s="4" t="s">
        <v>30</v>
      </c>
      <c r="F716" s="4" t="s">
        <v>42</v>
      </c>
      <c r="G716" s="4" t="s">
        <v>38</v>
      </c>
      <c r="H716" s="4" t="s">
        <v>88</v>
      </c>
      <c r="I716" s="4" t="s">
        <v>63</v>
      </c>
      <c r="J716" s="5">
        <v>53</v>
      </c>
      <c r="K716" s="5">
        <v>232.37</v>
      </c>
      <c r="L716" s="5">
        <v>12315.61</v>
      </c>
      <c r="M716" s="5">
        <v>7635.68</v>
      </c>
      <c r="N716" s="5">
        <v>4679.93</v>
      </c>
    </row>
    <row r="717" spans="1:14">
      <c r="A717" s="2">
        <v>45980.416666666657</v>
      </c>
      <c r="B717" s="3">
        <v>2025</v>
      </c>
      <c r="C717" s="4" t="s">
        <v>85</v>
      </c>
      <c r="D717" s="4">
        <v>11</v>
      </c>
      <c r="E717" s="4" t="s">
        <v>30</v>
      </c>
      <c r="F717" s="4" t="s">
        <v>42</v>
      </c>
      <c r="G717" s="4" t="s">
        <v>39</v>
      </c>
      <c r="H717" s="4" t="s">
        <v>79</v>
      </c>
      <c r="I717" s="4" t="s">
        <v>63</v>
      </c>
      <c r="J717" s="5">
        <v>18</v>
      </c>
      <c r="K717" s="5">
        <v>1257.04</v>
      </c>
      <c r="L717" s="5">
        <v>22626.720000000001</v>
      </c>
      <c r="M717" s="5">
        <v>14028.57</v>
      </c>
      <c r="N717" s="5">
        <v>8598.15</v>
      </c>
    </row>
    <row r="718" spans="1:14">
      <c r="A718" s="2">
        <v>44907.416666666657</v>
      </c>
      <c r="B718" s="3">
        <v>2022</v>
      </c>
      <c r="C718" s="4" t="s">
        <v>85</v>
      </c>
      <c r="D718" s="4">
        <v>12</v>
      </c>
      <c r="E718" s="4" t="s">
        <v>31</v>
      </c>
      <c r="F718" s="4" t="s">
        <v>44</v>
      </c>
      <c r="G718" s="4" t="s">
        <v>38</v>
      </c>
      <c r="H718" s="4" t="s">
        <v>77</v>
      </c>
      <c r="I718" s="4" t="s">
        <v>71</v>
      </c>
      <c r="J718" s="5">
        <v>32</v>
      </c>
      <c r="K718" s="5">
        <v>386.87</v>
      </c>
      <c r="L718" s="5">
        <v>12379.84</v>
      </c>
      <c r="M718" s="5">
        <v>7675.5</v>
      </c>
      <c r="N718" s="5">
        <v>4704.34</v>
      </c>
    </row>
    <row r="719" spans="1:14">
      <c r="A719" s="2">
        <v>45264.416666666657</v>
      </c>
      <c r="B719" s="3">
        <v>2023</v>
      </c>
      <c r="C719" s="4" t="s">
        <v>85</v>
      </c>
      <c r="D719" s="4">
        <v>12</v>
      </c>
      <c r="E719" s="4" t="s">
        <v>31</v>
      </c>
      <c r="F719" s="4" t="s">
        <v>42</v>
      </c>
      <c r="G719" s="4" t="s">
        <v>38</v>
      </c>
      <c r="H719" s="4" t="s">
        <v>77</v>
      </c>
      <c r="I719" s="4" t="s">
        <v>61</v>
      </c>
      <c r="J719" s="5">
        <v>11</v>
      </c>
      <c r="K719" s="5">
        <v>130.29</v>
      </c>
      <c r="L719" s="5">
        <v>1433.19</v>
      </c>
      <c r="M719" s="5">
        <v>888.58</v>
      </c>
      <c r="N719" s="5">
        <v>544.61</v>
      </c>
    </row>
    <row r="720" spans="1:14">
      <c r="A720" s="2">
        <v>45637.416666666657</v>
      </c>
      <c r="B720" s="3">
        <v>2024</v>
      </c>
      <c r="C720" s="4" t="s">
        <v>85</v>
      </c>
      <c r="D720" s="4">
        <v>12</v>
      </c>
      <c r="E720" s="4" t="s">
        <v>31</v>
      </c>
      <c r="F720" s="4" t="s">
        <v>40</v>
      </c>
      <c r="G720" s="4" t="s">
        <v>35</v>
      </c>
      <c r="H720" s="4" t="s">
        <v>64</v>
      </c>
      <c r="I720" s="4" t="s">
        <v>68</v>
      </c>
      <c r="J720" s="5">
        <v>21</v>
      </c>
      <c r="K720" s="5">
        <v>74.349999999999994</v>
      </c>
      <c r="L720" s="5">
        <v>1561.35</v>
      </c>
      <c r="M720" s="5">
        <v>968.04</v>
      </c>
      <c r="N720" s="5">
        <v>593.30999999999995</v>
      </c>
    </row>
    <row r="721" spans="1:14">
      <c r="A721" s="2">
        <v>45994.416666666657</v>
      </c>
      <c r="B721" s="3">
        <v>2025</v>
      </c>
      <c r="C721" s="4" t="s">
        <v>85</v>
      </c>
      <c r="D721" s="4">
        <v>12</v>
      </c>
      <c r="E721" s="4" t="s">
        <v>31</v>
      </c>
      <c r="F721" s="4" t="s">
        <v>41</v>
      </c>
      <c r="G721" s="4" t="s">
        <v>37</v>
      </c>
      <c r="H721" s="4" t="s">
        <v>84</v>
      </c>
      <c r="I721" s="4" t="s">
        <v>68</v>
      </c>
      <c r="J721" s="5">
        <v>24</v>
      </c>
      <c r="K721" s="5">
        <v>168.55</v>
      </c>
      <c r="L721" s="5">
        <v>4045.2</v>
      </c>
      <c r="M721" s="5">
        <v>2508.02</v>
      </c>
      <c r="N721" s="5">
        <v>1537.18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11D48"/>
  </sheetPr>
  <dimension ref="A1:U260"/>
  <sheetViews>
    <sheetView showGridLines="0" zoomScaleNormal="100" workbookViewId="0">
      <pane ySplit="8" topLeftCell="A9" activePane="bottomLeft" state="frozen"/>
      <selection pane="bottomLeft" activeCell="L15" sqref="L15"/>
    </sheetView>
  </sheetViews>
  <sheetFormatPr defaultRowHeight="14.4"/>
  <cols>
    <col min="1" max="1" width="14" style="6" customWidth="1"/>
    <col min="2" max="2" width="26" style="6" customWidth="1"/>
    <col min="3" max="3" width="13" style="6" customWidth="1"/>
    <col min="4" max="5" width="12" style="6" customWidth="1"/>
    <col min="6" max="6" width="14" style="6" customWidth="1"/>
    <col min="7" max="7" width="16" style="6" customWidth="1"/>
    <col min="8" max="8" width="42" style="6" customWidth="1"/>
    <col min="9" max="11" width="14" style="6" customWidth="1"/>
    <col min="12" max="12" width="15.21875" style="6" customWidth="1"/>
    <col min="13" max="13" width="0.109375" style="6" customWidth="1"/>
    <col min="14" max="16" width="12" style="6" customWidth="1"/>
  </cols>
  <sheetData>
    <row r="1" spans="1:21" ht="25.95" customHeight="1">
      <c r="A1" s="12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</row>
    <row r="2" spans="1:21" ht="12.6" customHeight="1">
      <c r="A2" s="171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4"/>
      <c r="R2" s="14"/>
      <c r="S2" s="14"/>
      <c r="T2" s="14"/>
      <c r="U2" s="14"/>
    </row>
    <row r="3" spans="1:21" ht="16.0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9.95" customHeight="1">
      <c r="A4" s="15" t="s">
        <v>96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87" t="s">
        <v>170</v>
      </c>
      <c r="N4" s="14"/>
      <c r="O4" s="14"/>
      <c r="P4" s="14"/>
      <c r="Q4" s="14"/>
      <c r="R4" s="14"/>
      <c r="S4" s="14"/>
      <c r="T4" s="14"/>
      <c r="U4" s="14"/>
    </row>
    <row r="5" spans="1:21" ht="16.05" customHeight="1">
      <c r="A5" s="17" t="s">
        <v>97</v>
      </c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19" t="s">
        <v>12</v>
      </c>
      <c r="L5" s="189" t="s">
        <v>168</v>
      </c>
      <c r="N5" s="14"/>
      <c r="O5" s="14"/>
      <c r="P5" s="14"/>
      <c r="Q5" s="14"/>
      <c r="R5" s="14"/>
      <c r="S5" s="14"/>
      <c r="T5" s="14"/>
      <c r="U5" s="14"/>
    </row>
    <row r="6" spans="1:21" ht="21" customHeight="1">
      <c r="A6" s="170" t="s">
        <v>98</v>
      </c>
      <c r="B6" s="20">
        <f>Dashboard!A3</f>
        <v>2024</v>
      </c>
      <c r="C6" s="20" t="str">
        <f>Dashboard!C3</f>
        <v>All</v>
      </c>
      <c r="D6" s="20" t="str">
        <f>Dashboard!E3</f>
        <v>All</v>
      </c>
      <c r="E6" s="20" t="str">
        <f>Dashboard!G3</f>
        <v>All</v>
      </c>
      <c r="F6" s="20" t="str">
        <f>Dashboard!I3</f>
        <v>All</v>
      </c>
      <c r="G6" s="20" t="str">
        <f>Dashboard!K3</f>
        <v>All</v>
      </c>
      <c r="H6" s="20" t="str">
        <f>Dashboard!M3</f>
        <v>All</v>
      </c>
      <c r="I6" s="20">
        <f>Dashboard!P3</f>
        <v>60</v>
      </c>
      <c r="J6" s="20" t="str">
        <f>Dashboard!Q3</f>
        <v>EGP</v>
      </c>
      <c r="K6" s="21" t="str">
        <f>Dashboard!S3</f>
        <v>ON</v>
      </c>
      <c r="L6" s="189"/>
      <c r="N6" s="14"/>
      <c r="O6" s="14"/>
      <c r="P6" s="14"/>
      <c r="Q6" s="14"/>
      <c r="R6" s="14"/>
      <c r="S6" s="14"/>
      <c r="T6" s="14"/>
      <c r="U6" s="14"/>
    </row>
    <row r="7" spans="1:21" ht="24.6" customHeight="1">
      <c r="A7" s="22" t="s">
        <v>99</v>
      </c>
      <c r="B7" s="23">
        <f t="shared" ref="B7:K7" si="0">B6</f>
        <v>2024</v>
      </c>
      <c r="C7" s="23" t="str">
        <f t="shared" si="0"/>
        <v>All</v>
      </c>
      <c r="D7" s="23" t="str">
        <f t="shared" si="0"/>
        <v>All</v>
      </c>
      <c r="E7" s="23" t="str">
        <f t="shared" si="0"/>
        <v>All</v>
      </c>
      <c r="F7" s="23" t="str">
        <f t="shared" si="0"/>
        <v>All</v>
      </c>
      <c r="G7" s="23" t="str">
        <f t="shared" si="0"/>
        <v>All</v>
      </c>
      <c r="H7" s="23" t="str">
        <f t="shared" si="0"/>
        <v>All</v>
      </c>
      <c r="I7" s="23">
        <f t="shared" si="0"/>
        <v>60</v>
      </c>
      <c r="J7" s="23" t="str">
        <f t="shared" si="0"/>
        <v>EGP</v>
      </c>
      <c r="K7" s="24" t="str">
        <f t="shared" si="0"/>
        <v>ON</v>
      </c>
      <c r="L7" s="188" t="s">
        <v>169</v>
      </c>
      <c r="N7" s="14"/>
      <c r="O7" s="14"/>
      <c r="P7" s="14"/>
      <c r="Q7" s="14"/>
      <c r="R7" s="14"/>
      <c r="S7" s="14"/>
      <c r="T7" s="14"/>
      <c r="U7" s="14"/>
    </row>
    <row r="8" spans="1:21" ht="0.6" customHeight="1">
      <c r="A8" s="25"/>
      <c r="B8" s="8"/>
      <c r="C8" s="8"/>
      <c r="D8" s="8"/>
      <c r="E8" s="8"/>
      <c r="F8" s="8"/>
      <c r="G8" s="8"/>
      <c r="H8" s="8"/>
      <c r="I8" s="8"/>
      <c r="J8" s="8"/>
      <c r="K8" s="8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16.0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19.95" customHeight="1">
      <c r="A10" s="15" t="s">
        <v>100</v>
      </c>
      <c r="B10" s="16"/>
      <c r="C10" s="16"/>
      <c r="D10" s="16"/>
      <c r="E10" s="16"/>
      <c r="F10" s="16"/>
      <c r="G10" s="16"/>
      <c r="H10" s="16"/>
      <c r="I10" s="16"/>
      <c r="J10" s="16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16.05" customHeight="1">
      <c r="A11" s="14"/>
      <c r="B11" s="26" t="s">
        <v>3</v>
      </c>
      <c r="C11" s="26" t="s">
        <v>4</v>
      </c>
      <c r="D11" s="26" t="s">
        <v>5</v>
      </c>
      <c r="E11" s="26" t="s">
        <v>6</v>
      </c>
      <c r="F11" s="26" t="s">
        <v>7</v>
      </c>
      <c r="G11" s="26" t="s">
        <v>8</v>
      </c>
      <c r="H11" s="26" t="s">
        <v>9</v>
      </c>
      <c r="I11" s="26" t="s">
        <v>11</v>
      </c>
      <c r="J11" s="26" t="s">
        <v>12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6.05" customHeight="1">
      <c r="A12" s="14"/>
      <c r="B12" s="27" t="s">
        <v>14</v>
      </c>
      <c r="C12" s="27" t="s">
        <v>14</v>
      </c>
      <c r="D12" s="27" t="s">
        <v>14</v>
      </c>
      <c r="E12" s="27" t="s">
        <v>14</v>
      </c>
      <c r="F12" s="27" t="s">
        <v>14</v>
      </c>
      <c r="G12" s="27" t="s">
        <v>14</v>
      </c>
      <c r="H12" s="27" t="s">
        <v>14</v>
      </c>
      <c r="I12" s="27" t="s">
        <v>15</v>
      </c>
      <c r="J12" s="27" t="s">
        <v>16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6.05" customHeight="1">
      <c r="A13" s="14"/>
      <c r="B13" s="28">
        <v>2022</v>
      </c>
      <c r="C13" s="28" t="s">
        <v>59</v>
      </c>
      <c r="D13" s="28" t="s">
        <v>1</v>
      </c>
      <c r="E13" s="28" t="s">
        <v>40</v>
      </c>
      <c r="F13" s="28" t="s">
        <v>35</v>
      </c>
      <c r="G13" s="28" t="s">
        <v>65</v>
      </c>
      <c r="H13" s="28" t="s">
        <v>73</v>
      </c>
      <c r="I13" s="28" t="s">
        <v>101</v>
      </c>
      <c r="J13" s="28" t="s">
        <v>102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16.05" customHeight="1">
      <c r="A14" s="14"/>
      <c r="B14" s="28">
        <v>2023</v>
      </c>
      <c r="C14" s="28" t="s">
        <v>76</v>
      </c>
      <c r="D14" s="28" t="s">
        <v>2</v>
      </c>
      <c r="E14" s="28" t="s">
        <v>41</v>
      </c>
      <c r="F14" s="28" t="s">
        <v>36</v>
      </c>
      <c r="G14" s="28" t="s">
        <v>86</v>
      </c>
      <c r="H14" s="28" t="s">
        <v>64</v>
      </c>
      <c r="I14" s="29"/>
      <c r="J14" s="29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16.05" customHeight="1">
      <c r="A15" s="14"/>
      <c r="B15" s="28">
        <v>2024</v>
      </c>
      <c r="C15" s="28" t="s">
        <v>80</v>
      </c>
      <c r="D15" s="28" t="s">
        <v>13</v>
      </c>
      <c r="E15" s="28" t="s">
        <v>42</v>
      </c>
      <c r="F15" s="28" t="s">
        <v>37</v>
      </c>
      <c r="G15" s="28" t="s">
        <v>63</v>
      </c>
      <c r="H15" s="28" t="s">
        <v>90</v>
      </c>
      <c r="I15" s="29"/>
      <c r="J15" s="29"/>
      <c r="K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16.05" customHeight="1">
      <c r="A16" s="14"/>
      <c r="B16" s="28">
        <v>2025</v>
      </c>
      <c r="C16" s="28" t="s">
        <v>85</v>
      </c>
      <c r="D16" s="28" t="s">
        <v>17</v>
      </c>
      <c r="E16" s="28" t="s">
        <v>43</v>
      </c>
      <c r="F16" s="28" t="s">
        <v>38</v>
      </c>
      <c r="G16" s="28" t="s">
        <v>61</v>
      </c>
      <c r="H16" s="28" t="s">
        <v>67</v>
      </c>
      <c r="I16" s="29"/>
      <c r="J16" s="2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16.05" customHeight="1">
      <c r="A17" s="14"/>
      <c r="B17" s="29"/>
      <c r="C17" s="29"/>
      <c r="D17" s="28" t="s">
        <v>18</v>
      </c>
      <c r="E17" s="28" t="s">
        <v>44</v>
      </c>
      <c r="F17" s="28" t="s">
        <v>39</v>
      </c>
      <c r="G17" s="28" t="s">
        <v>68</v>
      </c>
      <c r="H17" s="28" t="s">
        <v>72</v>
      </c>
      <c r="I17" s="29"/>
      <c r="J17" s="2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16.05" customHeight="1">
      <c r="A18" s="14"/>
      <c r="B18" s="29"/>
      <c r="C18" s="29"/>
      <c r="D18" s="28" t="s">
        <v>19</v>
      </c>
      <c r="E18" s="29"/>
      <c r="F18" s="29"/>
      <c r="G18" s="28" t="s">
        <v>71</v>
      </c>
      <c r="H18" s="28" t="s">
        <v>81</v>
      </c>
      <c r="I18" s="29"/>
      <c r="J18" s="29"/>
      <c r="K18" s="14"/>
      <c r="L18" s="14"/>
      <c r="M18" s="14"/>
      <c r="N18" s="14"/>
      <c r="O18" s="14"/>
      <c r="P18" s="14"/>
      <c r="Q18" s="14"/>
      <c r="R18" s="14"/>
      <c r="S18" s="14"/>
    </row>
    <row r="19" spans="1:21" ht="16.05" customHeight="1">
      <c r="A19" s="14"/>
      <c r="B19" s="29"/>
      <c r="C19" s="29"/>
      <c r="D19" s="28" t="s">
        <v>21</v>
      </c>
      <c r="E19" s="29"/>
      <c r="F19" s="29"/>
      <c r="G19" s="29"/>
      <c r="H19" s="28" t="s">
        <v>83</v>
      </c>
      <c r="I19" s="29"/>
      <c r="J19" s="29"/>
      <c r="K19" s="14"/>
      <c r="L19" s="14"/>
      <c r="M19" s="14"/>
      <c r="N19" s="14"/>
      <c r="O19" s="14"/>
      <c r="P19" s="14"/>
      <c r="Q19" s="14"/>
      <c r="R19" s="14"/>
      <c r="S19" s="14"/>
    </row>
    <row r="20" spans="1:21" ht="16.05" customHeight="1">
      <c r="A20" s="14"/>
      <c r="B20" s="29"/>
      <c r="C20" s="29"/>
      <c r="D20" s="28" t="s">
        <v>22</v>
      </c>
      <c r="E20" s="29"/>
      <c r="F20" s="29"/>
      <c r="G20" s="29"/>
      <c r="H20" s="28" t="s">
        <v>82</v>
      </c>
      <c r="I20" s="29"/>
      <c r="J20" s="29"/>
      <c r="K20" s="14"/>
      <c r="L20" s="14"/>
      <c r="M20" s="14"/>
      <c r="N20" s="14"/>
      <c r="O20" s="14"/>
      <c r="P20" s="14"/>
      <c r="Q20" s="14"/>
      <c r="R20" s="14"/>
      <c r="S20" s="14"/>
    </row>
    <row r="21" spans="1:21" ht="16.05" customHeight="1">
      <c r="A21" s="14"/>
      <c r="B21" s="29"/>
      <c r="C21" s="29"/>
      <c r="D21" s="28" t="s">
        <v>23</v>
      </c>
      <c r="E21" s="29"/>
      <c r="F21" s="29"/>
      <c r="G21" s="29"/>
      <c r="H21" s="28" t="s">
        <v>62</v>
      </c>
      <c r="I21" s="29"/>
      <c r="J21" s="29"/>
      <c r="K21" s="14"/>
      <c r="L21" s="14"/>
      <c r="M21" s="14"/>
      <c r="N21" s="14"/>
      <c r="O21" s="14"/>
      <c r="P21" s="14"/>
      <c r="Q21" s="14"/>
      <c r="R21" s="14"/>
      <c r="S21" s="14"/>
    </row>
    <row r="22" spans="1:21" ht="16.05" customHeight="1">
      <c r="A22" s="14"/>
      <c r="B22" s="29"/>
      <c r="C22" s="29"/>
      <c r="D22" s="28" t="s">
        <v>29</v>
      </c>
      <c r="E22" s="29"/>
      <c r="F22" s="29"/>
      <c r="G22" s="29"/>
      <c r="H22" s="28" t="s">
        <v>93</v>
      </c>
      <c r="I22" s="29"/>
      <c r="J22" s="2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16.05" customHeight="1">
      <c r="A23" s="14"/>
      <c r="B23" s="29"/>
      <c r="C23" s="29"/>
      <c r="D23" s="28" t="s">
        <v>30</v>
      </c>
      <c r="E23" s="29"/>
      <c r="F23" s="29"/>
      <c r="G23" s="29"/>
      <c r="H23" s="28" t="s">
        <v>89</v>
      </c>
      <c r="I23" s="29"/>
      <c r="J23" s="2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16.05" customHeight="1">
      <c r="A24" s="14"/>
      <c r="B24" s="29"/>
      <c r="C24" s="29"/>
      <c r="D24" s="28" t="s">
        <v>31</v>
      </c>
      <c r="E24" s="29"/>
      <c r="F24" s="29"/>
      <c r="G24" s="29"/>
      <c r="H24" s="28" t="s">
        <v>79</v>
      </c>
      <c r="I24" s="29"/>
      <c r="J24" s="29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16.05" customHeight="1">
      <c r="A25" s="14"/>
      <c r="B25" s="29"/>
      <c r="C25" s="29"/>
      <c r="D25" s="29"/>
      <c r="E25" s="29"/>
      <c r="F25" s="29"/>
      <c r="G25" s="29"/>
      <c r="H25" s="28" t="s">
        <v>91</v>
      </c>
      <c r="I25" s="29"/>
      <c r="J25" s="29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16.05" customHeight="1">
      <c r="A26" s="14"/>
      <c r="B26" s="29"/>
      <c r="C26" s="29"/>
      <c r="D26" s="29"/>
      <c r="E26" s="29"/>
      <c r="F26" s="29"/>
      <c r="G26" s="29"/>
      <c r="H26" s="28" t="s">
        <v>92</v>
      </c>
      <c r="I26" s="29"/>
      <c r="J26" s="2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16.05" customHeight="1">
      <c r="A27" s="14"/>
      <c r="B27" s="29"/>
      <c r="C27" s="29"/>
      <c r="D27" s="29"/>
      <c r="E27" s="29"/>
      <c r="F27" s="29"/>
      <c r="G27" s="29"/>
      <c r="H27" s="28" t="s">
        <v>78</v>
      </c>
      <c r="I27" s="29"/>
      <c r="J27" s="2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16.05" customHeight="1">
      <c r="A28" s="14"/>
      <c r="B28" s="29"/>
      <c r="C28" s="29"/>
      <c r="D28" s="29"/>
      <c r="E28" s="29"/>
      <c r="F28" s="29"/>
      <c r="G28" s="29"/>
      <c r="H28" s="28" t="s">
        <v>66</v>
      </c>
      <c r="I28" s="29"/>
      <c r="J28" s="29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16.05" customHeight="1">
      <c r="A29" s="14"/>
      <c r="B29" s="29"/>
      <c r="C29" s="29"/>
      <c r="D29" s="29"/>
      <c r="E29" s="29"/>
      <c r="F29" s="29"/>
      <c r="G29" s="29"/>
      <c r="H29" s="28" t="s">
        <v>75</v>
      </c>
      <c r="I29" s="29"/>
      <c r="J29" s="29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16.05" customHeight="1">
      <c r="A30" s="14"/>
      <c r="B30" s="29"/>
      <c r="C30" s="29"/>
      <c r="D30" s="29"/>
      <c r="E30" s="29"/>
      <c r="F30" s="29"/>
      <c r="G30" s="29"/>
      <c r="H30" s="28" t="s">
        <v>70</v>
      </c>
      <c r="I30" s="29"/>
      <c r="J30" s="2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16.05" customHeight="1">
      <c r="A31" s="14"/>
      <c r="B31" s="29"/>
      <c r="C31" s="29"/>
      <c r="D31" s="29"/>
      <c r="E31" s="29"/>
      <c r="F31" s="29"/>
      <c r="G31" s="29"/>
      <c r="H31" s="28" t="s">
        <v>87</v>
      </c>
      <c r="I31" s="29"/>
      <c r="J31" s="2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16.05" customHeight="1">
      <c r="A32" s="14"/>
      <c r="B32" s="29"/>
      <c r="C32" s="29"/>
      <c r="D32" s="29"/>
      <c r="E32" s="29"/>
      <c r="F32" s="29"/>
      <c r="G32" s="29"/>
      <c r="H32" s="28" t="s">
        <v>84</v>
      </c>
      <c r="I32" s="29"/>
      <c r="J32" s="29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16.05" customHeight="1">
      <c r="A33" s="14"/>
      <c r="B33" s="29"/>
      <c r="C33" s="29"/>
      <c r="D33" s="29"/>
      <c r="E33" s="29"/>
      <c r="F33" s="29"/>
      <c r="G33" s="29"/>
      <c r="H33" s="28" t="s">
        <v>60</v>
      </c>
      <c r="I33" s="29"/>
      <c r="J33" s="29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ht="16.05" customHeight="1">
      <c r="A34" s="14"/>
      <c r="B34" s="29"/>
      <c r="C34" s="29"/>
      <c r="D34" s="29"/>
      <c r="E34" s="29"/>
      <c r="F34" s="29"/>
      <c r="G34" s="29"/>
      <c r="H34" s="28" t="s">
        <v>69</v>
      </c>
      <c r="I34" s="29"/>
      <c r="J34" s="2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16.05" customHeight="1">
      <c r="A35" s="14"/>
      <c r="B35" s="29"/>
      <c r="C35" s="29"/>
      <c r="D35" s="29"/>
      <c r="E35" s="29"/>
      <c r="F35" s="29"/>
      <c r="G35" s="29"/>
      <c r="H35" s="28" t="s">
        <v>77</v>
      </c>
      <c r="I35" s="29"/>
      <c r="J35" s="2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16.05" customHeight="1">
      <c r="A36" s="14"/>
      <c r="B36" s="29"/>
      <c r="C36" s="29"/>
      <c r="D36" s="29"/>
      <c r="E36" s="29"/>
      <c r="F36" s="29"/>
      <c r="G36" s="29"/>
      <c r="H36" s="28" t="s">
        <v>88</v>
      </c>
      <c r="I36" s="29"/>
      <c r="J36" s="2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16.05" customHeight="1">
      <c r="A37" s="14"/>
      <c r="B37" s="30"/>
      <c r="C37" s="30"/>
      <c r="D37" s="30"/>
      <c r="E37" s="30"/>
      <c r="F37" s="30"/>
      <c r="G37" s="30"/>
      <c r="H37" s="31" t="s">
        <v>74</v>
      </c>
      <c r="I37" s="30"/>
      <c r="J37" s="30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16.0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16.0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19.95" customHeight="1">
      <c r="A40" s="15" t="s">
        <v>103</v>
      </c>
      <c r="B40" s="16"/>
      <c r="C40" s="16"/>
      <c r="D40" s="16"/>
      <c r="E40" s="16"/>
      <c r="F40" s="16"/>
      <c r="G40" s="16"/>
      <c r="H40" s="16"/>
      <c r="I40" s="16"/>
      <c r="J40" s="16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16.05" customHeight="1">
      <c r="A41" s="26" t="s">
        <v>49</v>
      </c>
      <c r="B41" s="26" t="s">
        <v>56</v>
      </c>
      <c r="C41" s="26" t="s">
        <v>104</v>
      </c>
      <c r="D41" s="26" t="s">
        <v>54</v>
      </c>
      <c r="E41" s="26" t="s">
        <v>57</v>
      </c>
      <c r="F41" s="26" t="s">
        <v>58</v>
      </c>
      <c r="G41" s="26" t="s">
        <v>105</v>
      </c>
      <c r="H41" s="26" t="s">
        <v>106</v>
      </c>
      <c r="I41" s="26" t="s">
        <v>107</v>
      </c>
      <c r="J41" s="26" t="s">
        <v>108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6.05" customHeight="1">
      <c r="A42" s="32">
        <v>1</v>
      </c>
      <c r="B42" s="33">
        <f>SUMPRODUCT((SalesData[MonthNum]=$A$42)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798620.35000000009</v>
      </c>
      <c r="C42" s="33">
        <f>SUMPRODUCT((SalesData[MonthNum]=$A$42)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2" s="33">
        <f>SUMPRODUCT((SalesData[MonthNum]=$A$42)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463</v>
      </c>
      <c r="E42" s="33">
        <f>SUMPRODUCT((SalesData[MonthNum]=$A$42)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495144.60999999993</v>
      </c>
      <c r="F42" s="33">
        <f>SUMPRODUCT((SalesData[MonthNum]=$A$42)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303475.74</v>
      </c>
      <c r="G42" s="34">
        <f t="shared" ref="G42:G53" si="1">IFERROR(B42/SUM($B$42:$B$53),0)</f>
        <v>0.16251291149579655</v>
      </c>
      <c r="H42" s="34">
        <f>IF(NOT(ISNUMBER($B$6)),"n/a",IF($B$6&lt;=2022,"n/a",IFERROR((B42-SUMPRODUCT((SalesData[MonthNum]=$A$42)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$42)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0.58285341717869144</v>
      </c>
      <c r="I42" s="35">
        <f>B42*Dashboard!$AB$2</f>
        <v>798620.35000000009</v>
      </c>
      <c r="J42" s="36">
        <f>F42*Dashboard!$AB$2</f>
        <v>303475.74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6.05" customHeight="1">
      <c r="A43" s="37">
        <v>2</v>
      </c>
      <c r="B43" s="38">
        <f>SUMPRODUCT((SalesData[MonthNum]=$A$43)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384847.49</v>
      </c>
      <c r="C43" s="38">
        <f>SUMPRODUCT((SalesData[MonthNum]=$A$43)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3" s="38">
        <f>SUMPRODUCT((SalesData[MonthNum]=$A$43)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197</v>
      </c>
      <c r="E43" s="38">
        <f>SUMPRODUCT((SalesData[MonthNum]=$A$43)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238605.45</v>
      </c>
      <c r="F43" s="38">
        <f>SUMPRODUCT((SalesData[MonthNum]=$A$43)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146242.03999999998</v>
      </c>
      <c r="G43" s="39">
        <f t="shared" si="1"/>
        <v>7.8313413979182275E-2</v>
      </c>
      <c r="H43" s="39">
        <f>IF(NOT(ISNUMBER($B$6)),"n/a",IF($B$6&lt;=2022,"n/a",IFERROR((B43-SUMPRODUCT((SalesData[MonthNum]=$A$43)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$43)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5.3928706693147523</v>
      </c>
      <c r="I43" s="40">
        <f>B43*Dashboard!$AB$2</f>
        <v>384847.49</v>
      </c>
      <c r="J43" s="41">
        <f>F43*Dashboard!$AB$2</f>
        <v>146242.03999999998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16.05" customHeight="1">
      <c r="A44" s="42">
        <v>3</v>
      </c>
      <c r="B44" s="11">
        <f>SUMPRODUCT((SalesData[MonthNum]=$A$44)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75262.539999999994</v>
      </c>
      <c r="C44" s="11">
        <f>SUMPRODUCT((SalesData[MonthNum]=$A$44)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4" s="11">
        <f>SUMPRODUCT((SalesData[MonthNum]=$A$44)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206</v>
      </c>
      <c r="E44" s="11">
        <f>SUMPRODUCT((SalesData[MonthNum]=$A$44)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46662.78</v>
      </c>
      <c r="F44" s="11">
        <f>SUMPRODUCT((SalesData[MonthNum]=$A$44)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28599.760000000002</v>
      </c>
      <c r="G44" s="43">
        <f t="shared" si="1"/>
        <v>1.5315330371895539E-2</v>
      </c>
      <c r="H44" s="43">
        <f>IF(NOT(ISNUMBER($B$6)),"n/a",IF($B$6&lt;=2022,"n/a",IFERROR((B44-SUMPRODUCT((SalesData[MonthNum]=$A$44)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$44)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0.39875959523947135</v>
      </c>
      <c r="I44" s="44">
        <f>B44*Dashboard!$AB$2</f>
        <v>75262.539999999994</v>
      </c>
      <c r="J44" s="45">
        <f>F44*Dashboard!$AB$2</f>
        <v>28599.760000000002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6.05" customHeight="1">
      <c r="A45" s="37">
        <v>4</v>
      </c>
      <c r="B45" s="38">
        <f>SUMPRODUCT((SalesData[MonthNum]=$A$45)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431756.67000000004</v>
      </c>
      <c r="C45" s="38">
        <f>SUMPRODUCT((SalesData[MonthNum]=$A$45)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5" s="38">
        <f>SUMPRODUCT((SalesData[MonthNum]=$A$45)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262</v>
      </c>
      <c r="E45" s="38">
        <f>SUMPRODUCT((SalesData[MonthNum]=$A$45)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267689.12000000005</v>
      </c>
      <c r="F45" s="38">
        <f>SUMPRODUCT((SalesData[MonthNum]=$A$45)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164067.55000000002</v>
      </c>
      <c r="G45" s="39">
        <f t="shared" si="1"/>
        <v>8.7859060314991771E-2</v>
      </c>
      <c r="H45" s="39">
        <f>IF(NOT(ISNUMBER($B$6)),"n/a",IF($B$6&lt;=2022,"n/a",IFERROR((B45-SUMPRODUCT((SalesData[MonthNum]=$A$45)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$45)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-0.11975081677401397</v>
      </c>
      <c r="I45" s="40">
        <f>B45*Dashboard!$AB$2</f>
        <v>431756.67000000004</v>
      </c>
      <c r="J45" s="41">
        <f>F45*Dashboard!$AB$2</f>
        <v>164067.55000000002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6.05" customHeight="1">
      <c r="A46" s="42">
        <v>5</v>
      </c>
      <c r="B46" s="11">
        <f>SUMPRODUCT((SalesData[MonthNum]=$A$46)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208424.18</v>
      </c>
      <c r="C46" s="11">
        <f>SUMPRODUCT((SalesData[MonthNum]=$A$46)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6" s="11">
        <f>SUMPRODUCT((SalesData[MonthNum]=$A$46)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268</v>
      </c>
      <c r="E46" s="11">
        <f>SUMPRODUCT((SalesData[MonthNum]=$A$46)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129222.99</v>
      </c>
      <c r="F46" s="11">
        <f>SUMPRODUCT((SalesData[MonthNum]=$A$46)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79201.190000000017</v>
      </c>
      <c r="G46" s="43">
        <f t="shared" si="1"/>
        <v>4.2412668695361901E-2</v>
      </c>
      <c r="H46" s="43">
        <f>IF(NOT(ISNUMBER($B$6)),"n/a",IF($B$6&lt;=2022,"n/a",IFERROR((B46-SUMPRODUCT((SalesData[MonthNum]=$A$46)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$46)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-5.2679197848722457E-2</v>
      </c>
      <c r="I46" s="44">
        <f>B46*Dashboard!$AB$2</f>
        <v>208424.18</v>
      </c>
      <c r="J46" s="45">
        <f>F46*Dashboard!$AB$2</f>
        <v>79201.190000000017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16.05" customHeight="1">
      <c r="A47" s="37">
        <v>6</v>
      </c>
      <c r="B47" s="38">
        <f>SUMPRODUCT((SalesData[MonthNum]=$A$47)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270459.49</v>
      </c>
      <c r="C47" s="38">
        <f>SUMPRODUCT((SalesData[MonthNum]=$A$47)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7" s="38">
        <f>SUMPRODUCT((SalesData[MonthNum]=$A$47)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280</v>
      </c>
      <c r="E47" s="38">
        <f>SUMPRODUCT((SalesData[MonthNum]=$A$47)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167684.87</v>
      </c>
      <c r="F47" s="38">
        <f>SUMPRODUCT((SalesData[MonthNum]=$A$47)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102774.62</v>
      </c>
      <c r="G47" s="39">
        <f t="shared" si="1"/>
        <v>5.5036362599035028E-2</v>
      </c>
      <c r="H47" s="39">
        <f>IF(NOT(ISNUMBER($B$6)),"n/a",IF($B$6&lt;=2022,"n/a",IFERROR((B47-SUMPRODUCT((SalesData[MonthNum]=$A$47)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$47)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-0.15934935145821744</v>
      </c>
      <c r="I47" s="40">
        <f>B47*Dashboard!$AB$2</f>
        <v>270459.49</v>
      </c>
      <c r="J47" s="41">
        <f>F47*Dashboard!$AB$2</f>
        <v>102774.62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16.05" customHeight="1">
      <c r="A48" s="42">
        <v>7</v>
      </c>
      <c r="B48" s="11">
        <f>SUMPRODUCT((SalesData[MonthNum]=$A$48)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490806.39999999997</v>
      </c>
      <c r="C48" s="11">
        <f>SUMPRODUCT((SalesData[MonthNum]=$A$48)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8" s="11">
        <f>SUMPRODUCT((SalesData[MonthNum]=$A$48)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325</v>
      </c>
      <c r="E48" s="11">
        <f>SUMPRODUCT((SalesData[MonthNum]=$A$48)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304299.95999999996</v>
      </c>
      <c r="F48" s="11">
        <f>SUMPRODUCT((SalesData[MonthNum]=$A$48)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186506.44</v>
      </c>
      <c r="G48" s="43">
        <f t="shared" si="1"/>
        <v>9.9875212351864695E-2</v>
      </c>
      <c r="H48" s="43">
        <f>IF(NOT(ISNUMBER($B$6)),"n/a",IF($B$6&lt;=2022,"n/a",IFERROR((B48-SUMPRODUCT((SalesData[MonthNum]=$A$48)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$48)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1.2448181988532638</v>
      </c>
      <c r="I48" s="44">
        <f>B48*Dashboard!$AB$2</f>
        <v>490806.39999999997</v>
      </c>
      <c r="J48" s="45">
        <f>F48*Dashboard!$AB$2</f>
        <v>186506.44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16.05" customHeight="1">
      <c r="A49" s="37">
        <v>8</v>
      </c>
      <c r="B49" s="38">
        <f>SUMPRODUCT((SalesData[MonthNum]=$A$49)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383846.58999999997</v>
      </c>
      <c r="C49" s="38">
        <f>SUMPRODUCT((SalesData[MonthNum]=$A$49)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49" s="38">
        <f>SUMPRODUCT((SalesData[MonthNum]=$A$49)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293</v>
      </c>
      <c r="E49" s="38">
        <f>SUMPRODUCT((SalesData[MonthNum]=$A$49)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237984.9</v>
      </c>
      <c r="F49" s="38">
        <f>SUMPRODUCT((SalesData[MonthNum]=$A$49)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145861.68999999997</v>
      </c>
      <c r="G49" s="39">
        <f t="shared" si="1"/>
        <v>7.8109738762145609E-2</v>
      </c>
      <c r="H49" s="39">
        <f>IF(NOT(ISNUMBER($B$6)),"n/a",IF($B$6&lt;=2022,"n/a",IFERROR((B49-SUMPRODUCT((SalesData[MonthNum]=$A$49)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$49)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0.19381078330638032</v>
      </c>
      <c r="I49" s="40">
        <f>B49*Dashboard!$AB$2</f>
        <v>383846.58999999997</v>
      </c>
      <c r="J49" s="41">
        <f>F49*Dashboard!$AB$2</f>
        <v>145861.68999999997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16.05" customHeight="1">
      <c r="A50" s="42">
        <v>9</v>
      </c>
      <c r="B50" s="11">
        <f>SUMPRODUCT((SalesData[MonthNum]=$A$50)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472693.69</v>
      </c>
      <c r="C50" s="11">
        <f>SUMPRODUCT((SalesData[MonthNum]=$A$50)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50" s="11">
        <f>SUMPRODUCT((SalesData[MonthNum]=$A$50)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390</v>
      </c>
      <c r="E50" s="11">
        <f>SUMPRODUCT((SalesData[MonthNum]=$A$50)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293070.07999999996</v>
      </c>
      <c r="F50" s="11">
        <f>SUMPRODUCT((SalesData[MonthNum]=$A$50)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179623.61000000002</v>
      </c>
      <c r="G50" s="43">
        <f t="shared" si="1"/>
        <v>9.6189419425126696E-2</v>
      </c>
      <c r="H50" s="43">
        <f>IF(NOT(ISNUMBER($B$6)),"n/a",IF($B$6&lt;=2022,"n/a",IFERROR((B50-SUMPRODUCT((SalesData[MonthNum]=$A$50)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$50)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0.76635029006160849</v>
      </c>
      <c r="I50" s="44">
        <f>B50*Dashboard!$AB$2</f>
        <v>472693.69</v>
      </c>
      <c r="J50" s="45">
        <f>F50*Dashboard!$AB$2</f>
        <v>179623.61000000002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16.05" customHeight="1">
      <c r="A51" s="37">
        <v>10</v>
      </c>
      <c r="B51" s="38">
        <f>SUMPRODUCT((SalesData[MonthNum]=$A$51)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156417.44000000003</v>
      </c>
      <c r="C51" s="38">
        <f>SUMPRODUCT((SalesData[MonthNum]=$A$51)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51" s="38">
        <f>SUMPRODUCT((SalesData[MonthNum]=$A$51)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306</v>
      </c>
      <c r="E51" s="38">
        <f>SUMPRODUCT((SalesData[MonthNum]=$A$51)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96978.81</v>
      </c>
      <c r="F51" s="38">
        <f>SUMPRODUCT((SalesData[MonthNum]=$A$51)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59438.630000000005</v>
      </c>
      <c r="G51" s="39">
        <f t="shared" si="1"/>
        <v>3.1829709301946875E-2</v>
      </c>
      <c r="H51" s="39">
        <f>IF(NOT(ISNUMBER($B$6)),"n/a",IF($B$6&lt;=2022,"n/a",IFERROR((B51-SUMPRODUCT((SalesData[MonthNum]=$A$51)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$51)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0.58722052457269058</v>
      </c>
      <c r="I51" s="40">
        <f>B51*Dashboard!$AB$2</f>
        <v>156417.44000000003</v>
      </c>
      <c r="J51" s="41">
        <f>F51*Dashboard!$AB$2</f>
        <v>59438.630000000005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16.05" customHeight="1">
      <c r="A52" s="42">
        <v>11</v>
      </c>
      <c r="B52" s="11">
        <f>SUMPRODUCT((SalesData[MonthNum]=$A$52)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309229.51999999996</v>
      </c>
      <c r="C52" s="11">
        <f>SUMPRODUCT((SalesData[MonthNum]=$A$52)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52" s="11">
        <f>SUMPRODUCT((SalesData[MonthNum]=$A$52)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301</v>
      </c>
      <c r="E52" s="11">
        <f>SUMPRODUCT((SalesData[MonthNum]=$A$52)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191722.31000000006</v>
      </c>
      <c r="F52" s="11">
        <f>SUMPRODUCT((SalesData[MonthNum]=$A$52)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117507.21000000002</v>
      </c>
      <c r="G52" s="43">
        <f t="shared" si="1"/>
        <v>6.2925756419364515E-2</v>
      </c>
      <c r="H52" s="43">
        <f>IF(NOT(ISNUMBER($B$6)),"n/a",IF($B$6&lt;=2022,"n/a",IFERROR((B52-SUMPRODUCT((SalesData[MonthNum]=$A$52)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$52)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-0.2375964381105134</v>
      </c>
      <c r="I52" s="44">
        <f>B52*Dashboard!$AB$2</f>
        <v>309229.51999999996</v>
      </c>
      <c r="J52" s="45">
        <f>F52*Dashboard!$AB$2</f>
        <v>117507.21000000002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ht="16.05" customHeight="1">
      <c r="A53" s="46">
        <v>12</v>
      </c>
      <c r="B53" s="47">
        <f>SUMPRODUCT((SalesData[MonthNum]=$A$53)*(($B$6="All")+(SalesData[Year]=$B$6))*(($C$6="All")+(SalesData[Quarter]=$C$6))*(($E$6="All")+(SalesData[Region]=$E$6))*(($F$6="All")+(SalesData[Category]=$F$6))*(($G$6="All")+(SalesData[Salesperson]=$G$6))*(($H$6="All")+(SalesData[Product]=$H$6))*SalesData[Revenue])</f>
        <v>931831.9500000003</v>
      </c>
      <c r="C53" s="47">
        <f>SUMPRODUCT((SalesData[MonthNum]=$A$53)*(($B$6="All")+(SalesData[Year]=$B$6))*(($C$6="All")+(SalesData[Quarter]=$C$6))*(($E$6="All")+(SalesData[Region]=$E$6))*(($F$6="All")+(SalesData[Category]=$F$6))*(($G$6="All")+(SalesData[Salesperson]=$G$6))*(($H$6="All")+(SalesData[Product]=$H$6))*((SalesData[Units]&lt;&gt;0)))</f>
        <v>15</v>
      </c>
      <c r="D53" s="47">
        <f>SUMPRODUCT((SalesData[MonthNum]=$A$53)*(($B$6="All")+(SalesData[Year]=$B$6))*(($C$6="All")+(SalesData[Quarter]=$C$6))*(($E$6="All")+(SalesData[Region]=$E$6))*(($F$6="All")+(SalesData[Category]=$F$6))*(($G$6="All")+(SalesData[Salesperson]=$G$6))*(($H$6="All")+(SalesData[Product]=$H$6))*SalesData[Units])</f>
        <v>540</v>
      </c>
      <c r="E53" s="47">
        <f>SUMPRODUCT((SalesData[MonthNum]=$A$53)*(($B$6="All")+(SalesData[Year]=$B$6))*(($C$6="All")+(SalesData[Quarter]=$C$6))*(($E$6="All")+(SalesData[Region]=$E$6))*(($F$6="All")+(SalesData[Category]=$F$6))*(($G$6="All")+(SalesData[Salesperson]=$G$6))*(($H$6="All")+(SalesData[Product]=$H$6))*SalesData[Cost])</f>
        <v>577735.81000000006</v>
      </c>
      <c r="F53" s="47">
        <f>SUMPRODUCT((SalesData[MonthNum]=$A$53)*(($B$6="All")+(SalesData[Year]=$B$6))*(($C$6="All")+(SalesData[Quarter]=$C$6))*(($E$6="All")+(SalesData[Region]=$E$6))*(($F$6="All")+(SalesData[Category]=$F$6))*(($G$6="All")+(SalesData[Salesperson]=$G$6))*(($H$6="All")+(SalesData[Product]=$H$6))*SalesData[Profit])</f>
        <v>354096.13999999996</v>
      </c>
      <c r="G53" s="48">
        <f t="shared" si="1"/>
        <v>0.18962041628328849</v>
      </c>
      <c r="H53" s="48">
        <f>IF(NOT(ISNUMBER($B$6)),"n/a",IF($B$6&lt;=2022,"n/a",IFERROR((B53-SUMPRODUCT((SalesData[MonthNum]=$A$53)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)/SUMPRODUCT((SalesData[MonthNum]=$A$53)*(SalesData[Year]=$B$6-1)*(($C$6="All")+(SalesData[Quarter]=$C$6))*(($D$6="All")+(SalesData[Month]=$D$6))*(($E$6="All")+(SalesData[Region]=$E$6))*(($F$6="All")+(SalesData[Category]=$F$6))*(($G$6="All")+(SalesData[Salesperson]=$G$6))*(($H$6="All")+(SalesData[Product]=$H$6))*SalesData[Revenue]),"n/a")))</f>
        <v>1.729978442171501</v>
      </c>
      <c r="I53" s="49">
        <f>B53*Dashboard!$AB$2</f>
        <v>931831.9500000003</v>
      </c>
      <c r="J53" s="50">
        <f>F53*Dashboard!$AB$2</f>
        <v>354096.13999999996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 ht="16.05" customHeight="1">
      <c r="A54" s="51" t="s">
        <v>109</v>
      </c>
      <c r="B54" s="52">
        <f>SUM(B42:B53)</f>
        <v>4914196.3100000005</v>
      </c>
      <c r="C54" s="52">
        <f>SUM(C42:C53)</f>
        <v>180</v>
      </c>
      <c r="D54" s="52">
        <f>SUM(D42:D53)</f>
        <v>3831</v>
      </c>
      <c r="E54" s="52">
        <f>SUM(E42:E53)</f>
        <v>3046801.69</v>
      </c>
      <c r="F54" s="52">
        <f>SUM(F42:F53)</f>
        <v>1867394.6199999999</v>
      </c>
      <c r="G54" s="53" t="s">
        <v>110</v>
      </c>
      <c r="H54" s="53" t="s">
        <v>110</v>
      </c>
      <c r="I54" s="52">
        <f>SUM(I42:I53)</f>
        <v>4914196.3100000005</v>
      </c>
      <c r="J54" s="54">
        <f>SUM(J42:J53)</f>
        <v>1867394.6199999999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16.0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 ht="19.95" customHeight="1">
      <c r="A56" s="15" t="s">
        <v>111</v>
      </c>
      <c r="B56" s="16"/>
      <c r="C56" s="16"/>
      <c r="D56" s="16"/>
      <c r="E56" s="16"/>
      <c r="F56" s="16"/>
      <c r="G56" s="1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 ht="16.05" customHeight="1">
      <c r="A57" s="26" t="s">
        <v>47</v>
      </c>
      <c r="B57" s="26" t="s">
        <v>56</v>
      </c>
      <c r="C57" s="26" t="s">
        <v>104</v>
      </c>
      <c r="D57" s="26" t="s">
        <v>54</v>
      </c>
      <c r="E57" s="26" t="s">
        <v>58</v>
      </c>
      <c r="F57" s="26" t="s">
        <v>105</v>
      </c>
      <c r="G57" s="26" t="s">
        <v>107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 ht="16.05" customHeight="1">
      <c r="A58" s="55" t="s">
        <v>59</v>
      </c>
      <c r="B58" s="33">
        <f>SUMPRODUCT((SalesData[Quarter]=$A$58)*(($B$6="All")+(SalesData[Year]=$B$6))*(($D$6="All")+(SalesData[Month]=$D$6))*(($E$6="All")+(SalesData[Region]=$E$6))*(($F$6="All")+(SalesData[Category]=$F$6))*(($G$6="All")+(SalesData[Salesperson]=$G$6))*(($H$6="All")+(SalesData[Product]=$H$6))*SalesData[Revenue])</f>
        <v>1258730.3799999999</v>
      </c>
      <c r="C58" s="33">
        <f>SUMPRODUCT((SalesData[Quarter]=$A$58)*(($B$6="All")+(SalesData[Year]=$B$6))*(($D$6="All")+(SalesData[Month]=$D$6))*(($E$6="All")+(SalesData[Region]=$E$6))*(($F$6="All")+(SalesData[Category]=$F$6))*(($G$6="All")+(SalesData[Salesperson]=$G$6))*(($H$6="All")+(SalesData[Product]=$H$6))*((SalesData[Units]&lt;&gt;0)))</f>
        <v>45</v>
      </c>
      <c r="D58" s="33">
        <f>SUMPRODUCT((SalesData[Quarter]=$A$58)*(($B$6="All")+(SalesData[Year]=$B$6))*(($D$6="All")+(SalesData[Month]=$D$6))*(($E$6="All")+(SalesData[Region]=$E$6))*(($F$6="All")+(SalesData[Category]=$F$6))*(($G$6="All")+(SalesData[Salesperson]=$G$6))*(($H$6="All")+(SalesData[Product]=$H$6))*SalesData[Units])</f>
        <v>866</v>
      </c>
      <c r="E58" s="33">
        <f>SUMPRODUCT((SalesData[Quarter]=$A$58)*(($B$6="All")+(SalesData[Year]=$B$6))*(($D$6="All")+(SalesData[Month]=$D$6))*(($E$6="All")+(SalesData[Region]=$E$6))*(($F$6="All")+(SalesData[Category]=$F$6))*(($G$6="All")+(SalesData[Salesperson]=$G$6))*(($H$6="All")+(SalesData[Product]=$H$6))*SalesData[Profit])</f>
        <v>478317.53999999992</v>
      </c>
      <c r="F58" s="34">
        <f>IFERROR(B58/SUM($B$58:$B$61),0)</f>
        <v>0.25614165584687432</v>
      </c>
      <c r="G58" s="36">
        <f>B58*Dashboard!$AB$2</f>
        <v>1258730.3799999999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16.05" customHeight="1">
      <c r="A59" s="56" t="s">
        <v>76</v>
      </c>
      <c r="B59" s="11">
        <f>SUMPRODUCT((SalesData[Quarter]=$A$59)*(($B$6="All")+(SalesData[Year]=$B$6))*(($D$6="All")+(SalesData[Month]=$D$6))*(($E$6="All")+(SalesData[Region]=$E$6))*(($F$6="All")+(SalesData[Category]=$F$6))*(($G$6="All")+(SalesData[Salesperson]=$G$6))*(($H$6="All")+(SalesData[Product]=$H$6))*SalesData[Revenue])</f>
        <v>910640.34</v>
      </c>
      <c r="C59" s="11">
        <f>SUMPRODUCT((SalesData[Quarter]=$A$59)*(($B$6="All")+(SalesData[Year]=$B$6))*(($D$6="All")+(SalesData[Month]=$D$6))*(($E$6="All")+(SalesData[Region]=$E$6))*(($F$6="All")+(SalesData[Category]=$F$6))*(($G$6="All")+(SalesData[Salesperson]=$G$6))*(($H$6="All")+(SalesData[Product]=$H$6))*((SalesData[Units]&lt;&gt;0)))</f>
        <v>45</v>
      </c>
      <c r="D59" s="11">
        <f>SUMPRODUCT((SalesData[Quarter]=$A$59)*(($B$6="All")+(SalesData[Year]=$B$6))*(($D$6="All")+(SalesData[Month]=$D$6))*(($E$6="All")+(SalesData[Region]=$E$6))*(($F$6="All")+(SalesData[Category]=$F$6))*(($G$6="All")+(SalesData[Salesperson]=$G$6))*(($H$6="All")+(SalesData[Product]=$H$6))*SalesData[Units])</f>
        <v>810</v>
      </c>
      <c r="E59" s="11">
        <f>SUMPRODUCT((SalesData[Quarter]=$A$59)*(($B$6="All")+(SalesData[Year]=$B$6))*(($D$6="All")+(SalesData[Month]=$D$6))*(($E$6="All")+(SalesData[Region]=$E$6))*(($F$6="All")+(SalesData[Category]=$F$6))*(($G$6="All")+(SalesData[Salesperson]=$G$6))*(($H$6="All")+(SalesData[Product]=$H$6))*SalesData[Profit])</f>
        <v>346043.3600000001</v>
      </c>
      <c r="F59" s="43">
        <f>IFERROR(B59/SUM($B$58:$B$61),0)</f>
        <v>0.18530809160938869</v>
      </c>
      <c r="G59" s="45">
        <f>B59*Dashboard!$AB$2</f>
        <v>910640.34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16.05" customHeight="1">
      <c r="A60" s="56" t="s">
        <v>80</v>
      </c>
      <c r="B60" s="11">
        <f>SUMPRODUCT((SalesData[Quarter]=$A$60)*(($B$6="All")+(SalesData[Year]=$B$6))*(($D$6="All")+(SalesData[Month]=$D$6))*(($E$6="All")+(SalesData[Region]=$E$6))*(($F$6="All")+(SalesData[Category]=$F$6))*(($G$6="All")+(SalesData[Salesperson]=$G$6))*(($H$6="All")+(SalesData[Product]=$H$6))*SalesData[Revenue])</f>
        <v>1347346.6800000002</v>
      </c>
      <c r="C60" s="11">
        <f>SUMPRODUCT((SalesData[Quarter]=$A$60)*(($B$6="All")+(SalesData[Year]=$B$6))*(($D$6="All")+(SalesData[Month]=$D$6))*(($E$6="All")+(SalesData[Region]=$E$6))*(($F$6="All")+(SalesData[Category]=$F$6))*(($G$6="All")+(SalesData[Salesperson]=$G$6))*(($H$6="All")+(SalesData[Product]=$H$6))*((SalesData[Units]&lt;&gt;0)))</f>
        <v>45</v>
      </c>
      <c r="D60" s="11">
        <f>SUMPRODUCT((SalesData[Quarter]=$A$60)*(($B$6="All")+(SalesData[Year]=$B$6))*(($D$6="All")+(SalesData[Month]=$D$6))*(($E$6="All")+(SalesData[Region]=$E$6))*(($F$6="All")+(SalesData[Category]=$F$6))*(($G$6="All")+(SalesData[Salesperson]=$G$6))*(($H$6="All")+(SalesData[Product]=$H$6))*SalesData[Units])</f>
        <v>1008</v>
      </c>
      <c r="E60" s="11">
        <f>SUMPRODUCT((SalesData[Quarter]=$A$60)*(($B$6="All")+(SalesData[Year]=$B$6))*(($D$6="All")+(SalesData[Month]=$D$6))*(($E$6="All")+(SalesData[Region]=$E$6))*(($F$6="All")+(SalesData[Category]=$F$6))*(($G$6="All")+(SalesData[Salesperson]=$G$6))*(($H$6="All")+(SalesData[Product]=$H$6))*SalesData[Profit])</f>
        <v>511991.73999999993</v>
      </c>
      <c r="F60" s="43">
        <f>IFERROR(B60/SUM($B$58:$B$61),0)</f>
        <v>0.27417437053913707</v>
      </c>
      <c r="G60" s="45">
        <f>B60*Dashboard!$AB$2</f>
        <v>1347346.6800000002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16.05" customHeight="1">
      <c r="A61" s="57" t="s">
        <v>85</v>
      </c>
      <c r="B61" s="58">
        <f>SUMPRODUCT((SalesData[Quarter]=$A$61)*(($B$6="All")+(SalesData[Year]=$B$6))*(($D$6="All")+(SalesData[Month]=$D$6))*(($E$6="All")+(SalesData[Region]=$E$6))*(($F$6="All")+(SalesData[Category]=$F$6))*(($G$6="All")+(SalesData[Salesperson]=$G$6))*(($H$6="All")+(SalesData[Product]=$H$6))*SalesData[Revenue])</f>
        <v>1397478.9100000001</v>
      </c>
      <c r="C61" s="58">
        <f>SUMPRODUCT((SalesData[Quarter]=$A$61)*(($B$6="All")+(SalesData[Year]=$B$6))*(($D$6="All")+(SalesData[Month]=$D$6))*(($E$6="All")+(SalesData[Region]=$E$6))*(($F$6="All")+(SalesData[Category]=$F$6))*(($G$6="All")+(SalesData[Salesperson]=$G$6))*(($H$6="All")+(SalesData[Product]=$H$6))*((SalesData[Units]&lt;&gt;0)))</f>
        <v>45</v>
      </c>
      <c r="D61" s="58">
        <f>SUMPRODUCT((SalesData[Quarter]=$A$61)*(($B$6="All")+(SalesData[Year]=$B$6))*(($D$6="All")+(SalesData[Month]=$D$6))*(($E$6="All")+(SalesData[Region]=$E$6))*(($F$6="All")+(SalesData[Category]=$F$6))*(($G$6="All")+(SalesData[Salesperson]=$G$6))*(($H$6="All")+(SalesData[Product]=$H$6))*SalesData[Units])</f>
        <v>1147</v>
      </c>
      <c r="E61" s="58">
        <f>SUMPRODUCT((SalesData[Quarter]=$A$61)*(($B$6="All")+(SalesData[Year]=$B$6))*(($D$6="All")+(SalesData[Month]=$D$6))*(($E$6="All")+(SalesData[Region]=$E$6))*(($F$6="All")+(SalesData[Category]=$F$6))*(($G$6="All")+(SalesData[Salesperson]=$G$6))*(($H$6="All")+(SalesData[Product]=$H$6))*SalesData[Profit])</f>
        <v>531041.9800000001</v>
      </c>
      <c r="F61" s="59">
        <f>IFERROR(B61/SUM($B$58:$B$61),0)</f>
        <v>0.28437588200459984</v>
      </c>
      <c r="G61" s="60">
        <f>B61*Dashboard!$AB$2</f>
        <v>1397478.9100000001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6.05" customHeight="1">
      <c r="A62" s="51" t="s">
        <v>109</v>
      </c>
      <c r="B62" s="52">
        <f>SUM(B58:B61)</f>
        <v>4914196.3100000005</v>
      </c>
      <c r="C62" s="52">
        <f>SUM(C58:C61)</f>
        <v>180</v>
      </c>
      <c r="D62" s="52">
        <f>SUM(D58:D61)</f>
        <v>3831</v>
      </c>
      <c r="E62" s="52">
        <f>SUM(E58:E61)</f>
        <v>1867394.62</v>
      </c>
      <c r="F62" s="61"/>
      <c r="G62" s="54">
        <f>SUM(G58:G61)</f>
        <v>4914196.3100000005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6.0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9.95" customHeight="1">
      <c r="A64" s="15" t="s">
        <v>112</v>
      </c>
      <c r="B64" s="16"/>
      <c r="C64" s="16"/>
      <c r="D64" s="16"/>
      <c r="E64" s="16"/>
      <c r="F64" s="16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6.05" customHeight="1">
      <c r="A65" s="26" t="s">
        <v>50</v>
      </c>
      <c r="B65" s="26" t="s">
        <v>56</v>
      </c>
      <c r="C65" s="26" t="s">
        <v>104</v>
      </c>
      <c r="D65" s="26" t="s">
        <v>54</v>
      </c>
      <c r="E65" s="26" t="s">
        <v>105</v>
      </c>
      <c r="F65" s="26" t="s">
        <v>107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6.05" customHeight="1">
      <c r="A66" s="55" t="s">
        <v>40</v>
      </c>
      <c r="B66" s="33">
        <f>SUMPRODUCT((SalesData[Region]=$A$66)*(($B$6="All")+(SalesData[Year]=$B$6))*(($C$6="All")+(SalesData[Quarter]=$C$6))*(($D$6="All")+(SalesData[Month]=$D$6))*(($F$6="All")+(SalesData[Category]=$F$6))*(($G$6="All")+(SalesData[Salesperson]=$G$6))*(($H$6="All")+(SalesData[Product]=$H$6))*SalesData[Revenue])</f>
        <v>644006.04000000015</v>
      </c>
      <c r="C66" s="33">
        <f>SUMPRODUCT((SalesData[Region]=$A$66)*(($B$6="All")+(SalesData[Year]=$B$6))*(($C$6="All")+(SalesData[Quarter]=$C$6))*(($D$6="All")+(SalesData[Month]=$D$6))*(($F$6="All")+(SalesData[Category]=$F$6))*(($G$6="All")+(SalesData[Salesperson]=$G$6))*(($H$6="All")+(SalesData[Product]=$H$6))*((SalesData[Units]&lt;&gt;0)))</f>
        <v>25</v>
      </c>
      <c r="D66" s="33">
        <f>SUMPRODUCT((SalesData[Region]=$A$66)*(($B$6="All")+(SalesData[Year]=$B$6))*(($C$6="All")+(SalesData[Quarter]=$C$6))*(($D$6="All")+(SalesData[Month]=$D$6))*(($F$6="All")+(SalesData[Category]=$F$6))*(($G$6="All")+(SalesData[Salesperson]=$G$6))*(($H$6="All")+(SalesData[Product]=$H$6))*SalesData[Units])</f>
        <v>620</v>
      </c>
      <c r="E66" s="34">
        <f>IFERROR(B66/SUM($B$66:$B$70),0)</f>
        <v>0.13105012485754772</v>
      </c>
      <c r="F66" s="36">
        <f>B66*Dashboard!$AB$2</f>
        <v>644006.04000000015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6.05" customHeight="1">
      <c r="A67" s="56" t="s">
        <v>41</v>
      </c>
      <c r="B67" s="11">
        <f>SUMPRODUCT((SalesData[Region]=$A$67)*(($B$6="All")+(SalesData[Year]=$B$6))*(($C$6="All")+(SalesData[Quarter]=$C$6))*(($D$6="All")+(SalesData[Month]=$D$6))*(($F$6="All")+(SalesData[Category]=$F$6))*(($G$6="All")+(SalesData[Salesperson]=$G$6))*(($H$6="All")+(SalesData[Product]=$H$6))*SalesData[Revenue])</f>
        <v>1432864.93</v>
      </c>
      <c r="C67" s="11">
        <f>SUMPRODUCT((SalesData[Region]=$A$67)*(($B$6="All")+(SalesData[Year]=$B$6))*(($C$6="All")+(SalesData[Quarter]=$C$6))*(($D$6="All")+(SalesData[Month]=$D$6))*(($F$6="All")+(SalesData[Category]=$F$6))*(($G$6="All")+(SalesData[Salesperson]=$G$6))*(($H$6="All")+(SalesData[Product]=$H$6))*((SalesData[Units]&lt;&gt;0)))</f>
        <v>41</v>
      </c>
      <c r="D67" s="11">
        <f>SUMPRODUCT((SalesData[Region]=$A$67)*(($B$6="All")+(SalesData[Year]=$B$6))*(($C$6="All")+(SalesData[Quarter]=$C$6))*(($D$6="All")+(SalesData[Month]=$D$6))*(($F$6="All")+(SalesData[Category]=$F$6))*(($G$6="All")+(SalesData[Salesperson]=$G$6))*(($H$6="All")+(SalesData[Product]=$H$6))*SalesData[Units])</f>
        <v>804</v>
      </c>
      <c r="E67" s="43">
        <f>IFERROR(B67/SUM($B$66:$B$70),0)</f>
        <v>0.29157665661101767</v>
      </c>
      <c r="F67" s="45">
        <f>B67*Dashboard!$AB$2</f>
        <v>1432864.93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6.05" customHeight="1">
      <c r="A68" s="56" t="s">
        <v>42</v>
      </c>
      <c r="B68" s="11">
        <f>SUMPRODUCT((SalesData[Region]=$A$68)*(($B$6="All")+(SalesData[Year]=$B$6))*(($C$6="All")+(SalesData[Quarter]=$C$6))*(($D$6="All")+(SalesData[Month]=$D$6))*(($F$6="All")+(SalesData[Category]=$F$6))*(($G$6="All")+(SalesData[Salesperson]=$G$6))*(($H$6="All")+(SalesData[Product]=$H$6))*SalesData[Revenue])</f>
        <v>837545.24</v>
      </c>
      <c r="C68" s="11">
        <f>SUMPRODUCT((SalesData[Region]=$A$68)*(($B$6="All")+(SalesData[Year]=$B$6))*(($C$6="All")+(SalesData[Quarter]=$C$6))*(($D$6="All")+(SalesData[Month]=$D$6))*(($F$6="All")+(SalesData[Category]=$F$6))*(($G$6="All")+(SalesData[Salesperson]=$G$6))*(($H$6="All")+(SalesData[Product]=$H$6))*((SalesData[Units]&lt;&gt;0)))</f>
        <v>30</v>
      </c>
      <c r="D68" s="11">
        <f>SUMPRODUCT((SalesData[Region]=$A$68)*(($B$6="All")+(SalesData[Year]=$B$6))*(($C$6="All")+(SalesData[Quarter]=$C$6))*(($D$6="All")+(SalesData[Month]=$D$6))*(($F$6="All")+(SalesData[Category]=$F$6))*(($G$6="All")+(SalesData[Salesperson]=$G$6))*(($H$6="All")+(SalesData[Product]=$H$6))*SalesData[Units])</f>
        <v>667</v>
      </c>
      <c r="E68" s="43">
        <f>IFERROR(B68/SUM($B$66:$B$70),0)</f>
        <v>0.17043381809873201</v>
      </c>
      <c r="F68" s="45">
        <f>B68*Dashboard!$AB$2</f>
        <v>837545.24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6.05" customHeight="1">
      <c r="A69" s="56" t="s">
        <v>43</v>
      </c>
      <c r="B69" s="11">
        <f>SUMPRODUCT((SalesData[Region]=$A$69)*(($B$6="All")+(SalesData[Year]=$B$6))*(($C$6="All")+(SalesData[Quarter]=$C$6))*(($D$6="All")+(SalesData[Month]=$D$6))*(($F$6="All")+(SalesData[Category]=$F$6))*(($G$6="All")+(SalesData[Salesperson]=$G$6))*(($H$6="All")+(SalesData[Product]=$H$6))*SalesData[Revenue])</f>
        <v>1083542.3099999998</v>
      </c>
      <c r="C69" s="11">
        <f>SUMPRODUCT((SalesData[Region]=$A$69)*(($B$6="All")+(SalesData[Year]=$B$6))*(($C$6="All")+(SalesData[Quarter]=$C$6))*(($D$6="All")+(SalesData[Month]=$D$6))*(($F$6="All")+(SalesData[Category]=$F$6))*(($G$6="All")+(SalesData[Salesperson]=$G$6))*(($H$6="All")+(SalesData[Product]=$H$6))*((SalesData[Units]&lt;&gt;0)))</f>
        <v>51</v>
      </c>
      <c r="D69" s="11">
        <f>SUMPRODUCT((SalesData[Region]=$A$69)*(($B$6="All")+(SalesData[Year]=$B$6))*(($C$6="All")+(SalesData[Quarter]=$C$6))*(($D$6="All")+(SalesData[Month]=$D$6))*(($F$6="All")+(SalesData[Category]=$F$6))*(($G$6="All")+(SalesData[Salesperson]=$G$6))*(($H$6="All")+(SalesData[Product]=$H$6))*SalesData[Units])</f>
        <v>1005</v>
      </c>
      <c r="E69" s="43">
        <f>IFERROR(B69/SUM($B$66:$B$70),0)</f>
        <v>0.22049227211275163</v>
      </c>
      <c r="F69" s="45">
        <f>B69*Dashboard!$AB$2</f>
        <v>1083542.3099999998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6.05" customHeight="1">
      <c r="A70" s="57" t="s">
        <v>44</v>
      </c>
      <c r="B70" s="58">
        <f>SUMPRODUCT((SalesData[Region]=$A$70)*(($B$6="All")+(SalesData[Year]=$B$6))*(($C$6="All")+(SalesData[Quarter]=$C$6))*(($D$6="All")+(SalesData[Month]=$D$6))*(($F$6="All")+(SalesData[Category]=$F$6))*(($G$6="All")+(SalesData[Salesperson]=$G$6))*(($H$6="All")+(SalesData[Product]=$H$6))*SalesData[Revenue])</f>
        <v>916237.7899999998</v>
      </c>
      <c r="C70" s="58">
        <f>SUMPRODUCT((SalesData[Region]=$A$70)*(($B$6="All")+(SalesData[Year]=$B$6))*(($C$6="All")+(SalesData[Quarter]=$C$6))*(($D$6="All")+(SalesData[Month]=$D$6))*(($F$6="All")+(SalesData[Category]=$F$6))*(($G$6="All")+(SalesData[Salesperson]=$G$6))*(($H$6="All")+(SalesData[Product]=$H$6))*((SalesData[Units]&lt;&gt;0)))</f>
        <v>33</v>
      </c>
      <c r="D70" s="58">
        <f>SUMPRODUCT((SalesData[Region]=$A$70)*(($B$6="All")+(SalesData[Year]=$B$6))*(($C$6="All")+(SalesData[Quarter]=$C$6))*(($D$6="All")+(SalesData[Month]=$D$6))*(($F$6="All")+(SalesData[Category]=$F$6))*(($G$6="All")+(SalesData[Salesperson]=$G$6))*(($H$6="All")+(SalesData[Product]=$H$6))*SalesData[Units])</f>
        <v>735</v>
      </c>
      <c r="E70" s="59">
        <f>IFERROR(B70/SUM($B$66:$B$70),0)</f>
        <v>0.18644712831995103</v>
      </c>
      <c r="F70" s="60">
        <f>B70*Dashboard!$AB$2</f>
        <v>916237.7899999998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6.05" customHeight="1">
      <c r="A71" s="51" t="s">
        <v>109</v>
      </c>
      <c r="B71" s="52">
        <f>SUM(B66:B70)</f>
        <v>4914196.3099999996</v>
      </c>
      <c r="C71" s="61"/>
      <c r="D71" s="61"/>
      <c r="E71" s="61"/>
      <c r="F71" s="54">
        <f>SUM(F66:F70)</f>
        <v>4914196.3099999996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6.0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9.95" customHeight="1">
      <c r="A73" s="15" t="s">
        <v>113</v>
      </c>
      <c r="B73" s="16"/>
      <c r="C73" s="16"/>
      <c r="D73" s="16"/>
      <c r="E73" s="16"/>
      <c r="F73" s="16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6.05" customHeight="1">
      <c r="A74" s="26" t="s">
        <v>51</v>
      </c>
      <c r="B74" s="26" t="s">
        <v>56</v>
      </c>
      <c r="C74" s="26" t="s">
        <v>58</v>
      </c>
      <c r="D74" s="26" t="s">
        <v>114</v>
      </c>
      <c r="E74" s="26" t="s">
        <v>105</v>
      </c>
      <c r="F74" s="26" t="s">
        <v>107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6.05" customHeight="1">
      <c r="A75" s="55" t="s">
        <v>35</v>
      </c>
      <c r="B75" s="33">
        <f>SUMPRODUCT((SalesData[Category]=$A$75)*(($B$6="All")+(SalesData[Year]=$B$6))*(($C$6="All")+(SalesData[Quarter]=$C$6))*(($D$6="All")+(SalesData[Month]=$D$6))*(($E$6="All")+(SalesData[Region]=$E$6))*(($G$6="All")+(SalesData[Salesperson]=$G$6))*(($H$6="All")+(SalesData[Product]=$H$6))*SalesData[Revenue])</f>
        <v>83951.659999999974</v>
      </c>
      <c r="C75" s="33">
        <f>SUMPRODUCT((SalesData[Category]=$A$75)*(($B$6="All")+(SalesData[Year]=$B$6))*(($C$6="All")+(SalesData[Quarter]=$C$6))*(($D$6="All")+(SalesData[Month]=$D$6))*(($E$6="All")+(SalesData[Region]=$E$6))*(($G$6="All")+(SalesData[Salesperson]=$G$6))*(($H$6="All")+(SalesData[Product]=$H$6))*SalesData[Profit])</f>
        <v>31901.65</v>
      </c>
      <c r="D75" s="34">
        <f>IFERROR(C75/B75,0)</f>
        <v>0.38000022870304184</v>
      </c>
      <c r="E75" s="34">
        <f>IFERROR(B75/SUM($B$75:$B$79),0)</f>
        <v>1.7083497423406754E-2</v>
      </c>
      <c r="F75" s="36">
        <f>B75*Dashboard!$AB$2</f>
        <v>83951.659999999974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6.05" customHeight="1">
      <c r="A76" s="56" t="s">
        <v>36</v>
      </c>
      <c r="B76" s="11">
        <f>SUMPRODUCT((SalesData[Category]=$A$76)*(($B$6="All")+(SalesData[Year]=$B$6))*(($C$6="All")+(SalesData[Quarter]=$C$6))*(($D$6="All")+(SalesData[Month]=$D$6))*(($E$6="All")+(SalesData[Region]=$E$6))*(($G$6="All")+(SalesData[Salesperson]=$G$6))*(($H$6="All")+(SalesData[Product]=$H$6))*SalesData[Revenue])</f>
        <v>2004450.33</v>
      </c>
      <c r="C76" s="11">
        <f>SUMPRODUCT((SalesData[Category]=$A$76)*(($B$6="All")+(SalesData[Year]=$B$6))*(($C$6="All")+(SalesData[Quarter]=$C$6))*(($D$6="All")+(SalesData[Month]=$D$6))*(($E$6="All")+(SalesData[Region]=$E$6))*(($G$6="All")+(SalesData[Salesperson]=$G$6))*(($H$6="All")+(SalesData[Product]=$H$6))*SalesData[Profit])</f>
        <v>761691.1399999999</v>
      </c>
      <c r="D76" s="43">
        <f>IFERROR(C76/B76,0)</f>
        <v>0.3800000072837923</v>
      </c>
      <c r="E76" s="43">
        <f>IFERROR(B76/SUM($B$75:$B$79),0)</f>
        <v>0.40788975522225329</v>
      </c>
      <c r="F76" s="45">
        <f>B76*Dashboard!$AB$2</f>
        <v>2004450.33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6.05" customHeight="1">
      <c r="A77" s="56" t="s">
        <v>37</v>
      </c>
      <c r="B77" s="11">
        <f>SUMPRODUCT((SalesData[Category]=$A$77)*(($B$6="All")+(SalesData[Year]=$B$6))*(($C$6="All")+(SalesData[Quarter]=$C$6))*(($D$6="All")+(SalesData[Month]=$D$6))*(($E$6="All")+(SalesData[Region]=$E$6))*(($G$6="All")+(SalesData[Salesperson]=$G$6))*(($H$6="All")+(SalesData[Product]=$H$6))*SalesData[Revenue])</f>
        <v>216590.40999999997</v>
      </c>
      <c r="C77" s="11">
        <f>SUMPRODUCT((SalesData[Category]=$A$77)*(($B$6="All")+(SalesData[Year]=$B$6))*(($C$6="All")+(SalesData[Quarter]=$C$6))*(($D$6="All")+(SalesData[Month]=$D$6))*(($E$6="All")+(SalesData[Region]=$E$6))*(($G$6="All")+(SalesData[Salesperson]=$G$6))*(($H$6="All")+(SalesData[Product]=$H$6))*SalesData[Profit])</f>
        <v>82304.36</v>
      </c>
      <c r="D77" s="43">
        <f>IFERROR(C77/B77,0)</f>
        <v>0.38000001939144035</v>
      </c>
      <c r="E77" s="43">
        <f>IFERROR(B77/SUM($B$75:$B$79),0)</f>
        <v>4.407443177621042E-2</v>
      </c>
      <c r="F77" s="45">
        <f>B77*Dashboard!$AB$2</f>
        <v>216590.40999999997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6.05" customHeight="1">
      <c r="A78" s="56" t="s">
        <v>38</v>
      </c>
      <c r="B78" s="11">
        <f>SUMPRODUCT((SalesData[Category]=$A$78)*(($B$6="All")+(SalesData[Year]=$B$6))*(($C$6="All")+(SalesData[Quarter]=$C$6))*(($D$6="All")+(SalesData[Month]=$D$6))*(($E$6="All")+(SalesData[Region]=$E$6))*(($G$6="All")+(SalesData[Salesperson]=$G$6))*(($H$6="All")+(SalesData[Product]=$H$6))*SalesData[Revenue])</f>
        <v>171530.68999999994</v>
      </c>
      <c r="C78" s="11">
        <f>SUMPRODUCT((SalesData[Category]=$A$78)*(($B$6="All")+(SalesData[Year]=$B$6))*(($C$6="All")+(SalesData[Quarter]=$C$6))*(($D$6="All")+(SalesData[Month]=$D$6))*(($E$6="All")+(SalesData[Region]=$E$6))*(($G$6="All")+(SalesData[Salesperson]=$G$6))*(($H$6="All")+(SalesData[Product]=$H$6))*SalesData[Profit])</f>
        <v>65181.65</v>
      </c>
      <c r="D78" s="43">
        <f>IFERROR(C78/B78,0)</f>
        <v>0.37999992887570161</v>
      </c>
      <c r="E78" s="43">
        <f>IFERROR(B78/SUM($B$75:$B$79),0)</f>
        <v>3.49051358918952E-2</v>
      </c>
      <c r="F78" s="45">
        <f>B78*Dashboard!$AB$2</f>
        <v>171530.68999999994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6.05" customHeight="1">
      <c r="A79" s="57" t="s">
        <v>39</v>
      </c>
      <c r="B79" s="58">
        <f>SUMPRODUCT((SalesData[Category]=$A$79)*(($B$6="All")+(SalesData[Year]=$B$6))*(($C$6="All")+(SalesData[Quarter]=$C$6))*(($D$6="All")+(SalesData[Month]=$D$6))*(($E$6="All")+(SalesData[Region]=$E$6))*(($G$6="All")+(SalesData[Salesperson]=$G$6))*(($H$6="All")+(SalesData[Product]=$H$6))*SalesData[Revenue])</f>
        <v>2437673.2199999997</v>
      </c>
      <c r="C79" s="58">
        <f>SUMPRODUCT((SalesData[Category]=$A$79)*(($B$6="All")+(SalesData[Year]=$B$6))*(($C$6="All")+(SalesData[Quarter]=$C$6))*(($D$6="All")+(SalesData[Month]=$D$6))*(($E$6="All")+(SalesData[Region]=$E$6))*(($G$6="All")+(SalesData[Salesperson]=$G$6))*(($H$6="All")+(SalesData[Product]=$H$6))*SalesData[Profit])</f>
        <v>926315.82000000007</v>
      </c>
      <c r="D79" s="59">
        <f>IFERROR(C79/B79,0)</f>
        <v>0.37999999852318195</v>
      </c>
      <c r="E79" s="59">
        <f>IFERROR(B79/SUM($B$75:$B$79),0)</f>
        <v>0.49604717968623435</v>
      </c>
      <c r="F79" s="60">
        <f>B79*Dashboard!$AB$2</f>
        <v>2437673.2199999997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6.05" customHeight="1">
      <c r="A80" s="51" t="s">
        <v>109</v>
      </c>
      <c r="B80" s="52">
        <f>SUM(B75:B79)</f>
        <v>4914196.3099999996</v>
      </c>
      <c r="C80" s="52">
        <f>SUM(C75:C79)</f>
        <v>1867394.62</v>
      </c>
      <c r="D80" s="61"/>
      <c r="E80" s="61"/>
      <c r="F80" s="54">
        <f>SUM(F75:F79)</f>
        <v>4914196.3099999996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6.0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9.95" customHeight="1">
      <c r="A82" s="15" t="s">
        <v>115</v>
      </c>
      <c r="B82" s="16"/>
      <c r="C82" s="16"/>
      <c r="D82" s="16"/>
      <c r="E82" s="16"/>
      <c r="F82" s="16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6.05" customHeight="1">
      <c r="A83" s="26" t="s">
        <v>53</v>
      </c>
      <c r="B83" s="26" t="s">
        <v>56</v>
      </c>
      <c r="C83" s="26" t="s">
        <v>104</v>
      </c>
      <c r="D83" s="26" t="s">
        <v>54</v>
      </c>
      <c r="E83" s="26" t="s">
        <v>105</v>
      </c>
      <c r="F83" s="26" t="s">
        <v>107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6.05" customHeight="1">
      <c r="A84" s="55" t="s">
        <v>65</v>
      </c>
      <c r="B84" s="33">
        <f>SUMPRODUCT((SalesData[Salesperson]=$A$84)*(($B$6="All")+(SalesData[Year]=$B$6))*(($C$6="All")+(SalesData[Quarter]=$C$6))*(($D$6="All")+(SalesData[Month]=$D$6))*(($E$6="All")+(SalesData[Region]=$E$6))*(($F$6="All")+(SalesData[Category]=$F$6))*(($H$6="All")+(SalesData[Product]=$H$6))*SalesData[Revenue])</f>
        <v>873158.79</v>
      </c>
      <c r="C84" s="33">
        <f>SUMPRODUCT((SalesData[Salesperson]=$A$84)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32</v>
      </c>
      <c r="D84" s="33">
        <f>SUMPRODUCT((SalesData[Salesperson]=$A$84)*(($B$6="All")+(SalesData[Year]=$B$6))*(($C$6="All")+(SalesData[Quarter]=$C$6))*(($D$6="All")+(SalesData[Month]=$D$6))*(($E$6="All")+(SalesData[Region]=$E$6))*(($F$6="All")+(SalesData[Category]=$F$6))*(($H$6="All")+(SalesData[Product]=$H$6))*SalesData[Units])</f>
        <v>710</v>
      </c>
      <c r="E84" s="34">
        <f t="shared" ref="E84:E89" si="2">IFERROR(B84/SUM($B$84:$B$89),0)</f>
        <v>0.17768089325678565</v>
      </c>
      <c r="F84" s="36">
        <f>B84*Dashboard!$AB$2</f>
        <v>873158.79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6.05" customHeight="1">
      <c r="A85" s="56" t="s">
        <v>86</v>
      </c>
      <c r="B85" s="11">
        <f>SUMPRODUCT((SalesData[Salesperson]=$A$85)*(($B$6="All")+(SalesData[Year]=$B$6))*(($C$6="All")+(SalesData[Quarter]=$C$6))*(($D$6="All")+(SalesData[Month]=$D$6))*(($E$6="All")+(SalesData[Region]=$E$6))*(($F$6="All")+(SalesData[Category]=$F$6))*(($H$6="All")+(SalesData[Product]=$H$6))*SalesData[Revenue])</f>
        <v>677603.15000000014</v>
      </c>
      <c r="C85" s="11">
        <f>SUMPRODUCT((SalesData[Salesperson]=$A$85)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25</v>
      </c>
      <c r="D85" s="11">
        <f>SUMPRODUCT((SalesData[Salesperson]=$A$85)*(($B$6="All")+(SalesData[Year]=$B$6))*(($C$6="All")+(SalesData[Quarter]=$C$6))*(($D$6="All")+(SalesData[Month]=$D$6))*(($E$6="All")+(SalesData[Region]=$E$6))*(($F$6="All")+(SalesData[Category]=$F$6))*(($H$6="All")+(SalesData[Product]=$H$6))*SalesData[Units])</f>
        <v>509</v>
      </c>
      <c r="E85" s="43">
        <f t="shared" si="2"/>
        <v>0.13788687045756218</v>
      </c>
      <c r="F85" s="45">
        <f>B85*Dashboard!$AB$2</f>
        <v>677603.15000000014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6.05" customHeight="1">
      <c r="A86" s="56" t="s">
        <v>63</v>
      </c>
      <c r="B86" s="11">
        <f>SUMPRODUCT((SalesData[Salesperson]=$A$86)*(($B$6="All")+(SalesData[Year]=$B$6))*(($C$6="All")+(SalesData[Quarter]=$C$6))*(($D$6="All")+(SalesData[Month]=$D$6))*(($E$6="All")+(SalesData[Region]=$E$6))*(($F$6="All")+(SalesData[Category]=$F$6))*(($H$6="All")+(SalesData[Product]=$H$6))*SalesData[Revenue])</f>
        <v>635295.81000000006</v>
      </c>
      <c r="C86" s="11">
        <f>SUMPRODUCT((SalesData[Salesperson]=$A$86)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30</v>
      </c>
      <c r="D86" s="11">
        <f>SUMPRODUCT((SalesData[Salesperson]=$A$86)*(($B$6="All")+(SalesData[Year]=$B$6))*(($C$6="All")+(SalesData[Quarter]=$C$6))*(($D$6="All")+(SalesData[Month]=$D$6))*(($E$6="All")+(SalesData[Region]=$E$6))*(($F$6="All")+(SalesData[Category]=$F$6))*(($H$6="All")+(SalesData[Product]=$H$6))*SalesData[Units])</f>
        <v>645</v>
      </c>
      <c r="E86" s="43">
        <f t="shared" si="2"/>
        <v>0.12927766208835073</v>
      </c>
      <c r="F86" s="45">
        <f>B86*Dashboard!$AB$2</f>
        <v>635295.81000000006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6.05" customHeight="1">
      <c r="A87" s="56" t="s">
        <v>61</v>
      </c>
      <c r="B87" s="11">
        <f>SUMPRODUCT((SalesData[Salesperson]=$A$87)*(($B$6="All")+(SalesData[Year]=$B$6))*(($C$6="All")+(SalesData[Quarter]=$C$6))*(($D$6="All")+(SalesData[Month]=$D$6))*(($E$6="All")+(SalesData[Region]=$E$6))*(($F$6="All")+(SalesData[Category]=$F$6))*(($H$6="All")+(SalesData[Product]=$H$6))*SalesData[Revenue])</f>
        <v>631248.94999999995</v>
      </c>
      <c r="C87" s="11">
        <f>SUMPRODUCT((SalesData[Salesperson]=$A$87)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24</v>
      </c>
      <c r="D87" s="11">
        <f>SUMPRODUCT((SalesData[Salesperson]=$A$87)*(($B$6="All")+(SalesData[Year]=$B$6))*(($C$6="All")+(SalesData[Quarter]=$C$6))*(($D$6="All")+(SalesData[Month]=$D$6))*(($E$6="All")+(SalesData[Region]=$E$6))*(($F$6="All")+(SalesData[Category]=$F$6))*(($H$6="All")+(SalesData[Product]=$H$6))*SalesData[Units])</f>
        <v>499</v>
      </c>
      <c r="E87" s="43">
        <f t="shared" si="2"/>
        <v>0.12845415815307548</v>
      </c>
      <c r="F87" s="45">
        <f>B87*Dashboard!$AB$2</f>
        <v>631248.94999999995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6.05" customHeight="1">
      <c r="A88" s="56" t="s">
        <v>68</v>
      </c>
      <c r="B88" s="11">
        <f>SUMPRODUCT((SalesData[Salesperson]=$A$88)*(($B$6="All")+(SalesData[Year]=$B$6))*(($C$6="All")+(SalesData[Quarter]=$C$6))*(($D$6="All")+(SalesData[Month]=$D$6))*(($E$6="All")+(SalesData[Region]=$E$6))*(($F$6="All")+(SalesData[Category]=$F$6))*(($H$6="All")+(SalesData[Product]=$H$6))*SalesData[Revenue])</f>
        <v>761218.98</v>
      </c>
      <c r="C88" s="11">
        <f>SUMPRODUCT((SalesData[Salesperson]=$A$88)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26</v>
      </c>
      <c r="D88" s="11">
        <f>SUMPRODUCT((SalesData[Salesperson]=$A$88)*(($B$6="All")+(SalesData[Year]=$B$6))*(($C$6="All")+(SalesData[Quarter]=$C$6))*(($D$6="All")+(SalesData[Month]=$D$6))*(($E$6="All")+(SalesData[Region]=$E$6))*(($F$6="All")+(SalesData[Category]=$F$6))*(($H$6="All")+(SalesData[Product]=$H$6))*SalesData[Units])</f>
        <v>547</v>
      </c>
      <c r="E88" s="43">
        <f t="shared" si="2"/>
        <v>0.15490202913770043</v>
      </c>
      <c r="F88" s="45">
        <f>B88*Dashboard!$AB$2</f>
        <v>761218.98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6.05" customHeight="1">
      <c r="A89" s="57" t="s">
        <v>71</v>
      </c>
      <c r="B89" s="58">
        <f>SUMPRODUCT((SalesData[Salesperson]=$A$89)*(($B$6="All")+(SalesData[Year]=$B$6))*(($C$6="All")+(SalesData[Quarter]=$C$6))*(($D$6="All")+(SalesData[Month]=$D$6))*(($E$6="All")+(SalesData[Region]=$E$6))*(($F$6="All")+(SalesData[Category]=$F$6))*(($H$6="All")+(SalesData[Product]=$H$6))*SalesData[Revenue])</f>
        <v>1335670.6299999999</v>
      </c>
      <c r="C89" s="58">
        <f>SUMPRODUCT((SalesData[Salesperson]=$A$89)*(($B$6="All")+(SalesData[Year]=$B$6))*(($C$6="All")+(SalesData[Quarter]=$C$6))*(($D$6="All")+(SalesData[Month]=$D$6))*(($E$6="All")+(SalesData[Region]=$E$6))*(($F$6="All")+(SalesData[Category]=$F$6))*(($H$6="All")+(SalesData[Product]=$H$6))*((SalesData[Units]&lt;&gt;0)))</f>
        <v>43</v>
      </c>
      <c r="D89" s="58">
        <f>SUMPRODUCT((SalesData[Salesperson]=$A$89)*(($B$6="All")+(SalesData[Year]=$B$6))*(($C$6="All")+(SalesData[Quarter]=$C$6))*(($D$6="All")+(SalesData[Month]=$D$6))*(($E$6="All")+(SalesData[Region]=$E$6))*(($F$6="All")+(SalesData[Category]=$F$6))*(($H$6="All")+(SalesData[Product]=$H$6))*SalesData[Units])</f>
        <v>921</v>
      </c>
      <c r="E89" s="59">
        <f t="shared" si="2"/>
        <v>0.27179838690652547</v>
      </c>
      <c r="F89" s="60">
        <f>B89*Dashboard!$AB$2</f>
        <v>1335670.6299999999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6.05" customHeight="1">
      <c r="A90" s="51" t="s">
        <v>109</v>
      </c>
      <c r="B90" s="52">
        <f>SUM(B84:B89)</f>
        <v>4914196.3100000005</v>
      </c>
      <c r="C90" s="61"/>
      <c r="D90" s="61"/>
      <c r="E90" s="61"/>
      <c r="F90" s="54">
        <f>SUM(F84:F89)</f>
        <v>4914196.3100000005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6.0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9.95" customHeight="1">
      <c r="A92" s="15" t="s">
        <v>116</v>
      </c>
      <c r="B92" s="16"/>
      <c r="C92" s="16"/>
      <c r="D92" s="16"/>
      <c r="E92" s="1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6.05" customHeight="1">
      <c r="A93" s="26" t="s">
        <v>52</v>
      </c>
      <c r="B93" s="26" t="s">
        <v>56</v>
      </c>
      <c r="C93" s="26" t="s">
        <v>58</v>
      </c>
      <c r="D93" s="26" t="s">
        <v>54</v>
      </c>
      <c r="E93" s="26" t="s">
        <v>114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6.05" customHeight="1">
      <c r="A94" s="55" t="s">
        <v>73</v>
      </c>
      <c r="B94" s="33">
        <f>SUMPRODUCT((SalesData[Product]=$A$94)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425258.29000000004</v>
      </c>
      <c r="C94" s="33">
        <f>SUMPRODUCT((SalesData[Product]=$A$94)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161598.15000000002</v>
      </c>
      <c r="D94" s="33">
        <f>SUMPRODUCT((SalesData[Product]=$A$94)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176</v>
      </c>
      <c r="E94" s="62">
        <f t="shared" ref="E94:E118" si="3">IFERROR(C94/B94,0)</f>
        <v>0.3799999995296976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6.05" customHeight="1">
      <c r="A95" s="56" t="s">
        <v>64</v>
      </c>
      <c r="B95" s="11">
        <f>SUMPRODUCT((SalesData[Product]=$A$95)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20697.680000000004</v>
      </c>
      <c r="C95" s="11">
        <f>SUMPRODUCT((SalesData[Product]=$A$95)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7865.1200000000008</v>
      </c>
      <c r="D95" s="11">
        <f>SUMPRODUCT((SalesData[Product]=$A$95)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208</v>
      </c>
      <c r="E95" s="63">
        <f t="shared" si="3"/>
        <v>0.38000007730334989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6.05" customHeight="1">
      <c r="A96" s="56" t="s">
        <v>90</v>
      </c>
      <c r="B96" s="11">
        <f>SUMPRODUCT((SalesData[Product]=$A$96)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13501.26</v>
      </c>
      <c r="C96" s="11">
        <f>SUMPRODUCT((SalesData[Product]=$A$96)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5130.49</v>
      </c>
      <c r="D96" s="11">
        <f>SUMPRODUCT((SalesData[Product]=$A$96)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162</v>
      </c>
      <c r="E96" s="63">
        <f t="shared" si="3"/>
        <v>0.38000082955220471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6.05" customHeight="1">
      <c r="A97" s="56" t="s">
        <v>67</v>
      </c>
      <c r="B97" s="11">
        <f>SUMPRODUCT((SalesData[Product]=$A$97)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548078.28</v>
      </c>
      <c r="C97" s="11">
        <f>SUMPRODUCT((SalesData[Product]=$A$97)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208269.75</v>
      </c>
      <c r="D97" s="11">
        <f>SUMPRODUCT((SalesData[Product]=$A$97)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185</v>
      </c>
      <c r="E97" s="63">
        <f t="shared" si="3"/>
        <v>0.38000000656840477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6.05" customHeight="1">
      <c r="A98" s="56" t="s">
        <v>72</v>
      </c>
      <c r="B98" s="11">
        <f>SUMPRODUCT((SalesData[Product]=$A$98)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28937.8</v>
      </c>
      <c r="C98" s="11">
        <f>SUMPRODUCT((SalesData[Product]=$A$98)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10996.359999999999</v>
      </c>
      <c r="D98" s="11">
        <f>SUMPRODUCT((SalesData[Product]=$A$98)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104</v>
      </c>
      <c r="E98" s="63">
        <f t="shared" si="3"/>
        <v>0.37999986177249129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6.05" customHeight="1">
      <c r="A99" s="56" t="s">
        <v>81</v>
      </c>
      <c r="B99" s="11">
        <f>SUMPRODUCT((SalesData[Product]=$A$99)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123282.81</v>
      </c>
      <c r="C99" s="11">
        <f>SUMPRODUCT((SalesData[Product]=$A$99)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46847.47</v>
      </c>
      <c r="D99" s="11">
        <f>SUMPRODUCT((SalesData[Product]=$A$99)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54</v>
      </c>
      <c r="E99" s="63">
        <f t="shared" si="3"/>
        <v>0.38000001784514809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6.05" customHeight="1">
      <c r="A100" s="56" t="s">
        <v>83</v>
      </c>
      <c r="B100" s="11">
        <f>SUMPRODUCT((SalesData[Product]=$A$100)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18173.059999999998</v>
      </c>
      <c r="C100" s="11">
        <f>SUMPRODUCT((SalesData[Product]=$A$100)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6905.7599999999993</v>
      </c>
      <c r="D100" s="11">
        <f>SUMPRODUCT((SalesData[Product]=$A$100)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72</v>
      </c>
      <c r="E100" s="63">
        <f t="shared" si="3"/>
        <v>0.37999984592578245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6.05" customHeight="1">
      <c r="A101" s="56" t="s">
        <v>82</v>
      </c>
      <c r="B101" s="11">
        <f>SUMPRODUCT((SalesData[Product]=$A$101)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759688.02</v>
      </c>
      <c r="C101" s="11">
        <f>SUMPRODUCT((SalesData[Product]=$A$101)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288681.45</v>
      </c>
      <c r="D101" s="11">
        <f>SUMPRODUCT((SalesData[Product]=$A$101)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187</v>
      </c>
      <c r="E101" s="63">
        <f t="shared" si="3"/>
        <v>0.38000000315919158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6.05" customHeight="1">
      <c r="A102" s="56" t="s">
        <v>62</v>
      </c>
      <c r="B102" s="11">
        <f>SUMPRODUCT((SalesData[Product]=$A$102)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43270.61</v>
      </c>
      <c r="C102" s="11">
        <f>SUMPRODUCT((SalesData[Product]=$A$102)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16442.830000000002</v>
      </c>
      <c r="D102" s="11">
        <f>SUMPRODUCT((SalesData[Product]=$A$102)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137</v>
      </c>
      <c r="E102" s="63">
        <f t="shared" si="3"/>
        <v>0.379999958401326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6.05" customHeight="1">
      <c r="A103" s="56" t="s">
        <v>93</v>
      </c>
      <c r="B103" s="11">
        <f>SUMPRODUCT((SalesData[Product]=$A$103)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38812.11</v>
      </c>
      <c r="C103" s="11">
        <f>SUMPRODUCT((SalesData[Product]=$A$103)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14748.619999999999</v>
      </c>
      <c r="D103" s="11">
        <f>SUMPRODUCT((SalesData[Product]=$A$103)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138</v>
      </c>
      <c r="E103" s="63">
        <f t="shared" si="3"/>
        <v>0.38000046892580691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6.05" customHeight="1">
      <c r="A104" s="56" t="s">
        <v>89</v>
      </c>
      <c r="B104" s="11">
        <f>SUMPRODUCT((SalesData[Product]=$A$104)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360465.91999999998</v>
      </c>
      <c r="C104" s="11">
        <f>SUMPRODUCT((SalesData[Product]=$A$104)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136977.04999999999</v>
      </c>
      <c r="D104" s="11">
        <f>SUMPRODUCT((SalesData[Product]=$A$104)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108</v>
      </c>
      <c r="E104" s="63">
        <f t="shared" si="3"/>
        <v>0.38000000110967491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6.05" customHeight="1">
      <c r="A105" s="56" t="s">
        <v>79</v>
      </c>
      <c r="B105" s="11">
        <f>SUMPRODUCT((SalesData[Product]=$A$105)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435057.76999999996</v>
      </c>
      <c r="C105" s="11">
        <f>SUMPRODUCT((SalesData[Product]=$A$105)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165321.95000000001</v>
      </c>
      <c r="D105" s="11">
        <f>SUMPRODUCT((SalesData[Product]=$A$105)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132</v>
      </c>
      <c r="E105" s="63">
        <f t="shared" si="3"/>
        <v>0.37999999402378226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6.05" customHeight="1">
      <c r="A106" s="56" t="s">
        <v>91</v>
      </c>
      <c r="B106" s="11">
        <f>SUMPRODUCT((SalesData[Product]=$A$106)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216559.27999999997</v>
      </c>
      <c r="C106" s="11">
        <f>SUMPRODUCT((SalesData[Product]=$A$106)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82292.529999999984</v>
      </c>
      <c r="D106" s="11">
        <f>SUMPRODUCT((SalesData[Product]=$A$106)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79</v>
      </c>
      <c r="E106" s="63">
        <f t="shared" si="3"/>
        <v>0.38000001662362376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6.05" customHeight="1">
      <c r="A107" s="56" t="s">
        <v>92</v>
      </c>
      <c r="B107" s="11">
        <f>SUMPRODUCT((SalesData[Product]=$A$107)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12560.67</v>
      </c>
      <c r="C107" s="11">
        <f>SUMPRODUCT((SalesData[Product]=$A$107)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4773.05</v>
      </c>
      <c r="D107" s="11">
        <f>SUMPRODUCT((SalesData[Product]=$A$107)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175</v>
      </c>
      <c r="E107" s="63">
        <f t="shared" si="3"/>
        <v>0.37999963377749757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6.05" customHeight="1">
      <c r="A108" s="56" t="s">
        <v>78</v>
      </c>
      <c r="B108" s="11">
        <f>SUMPRODUCT((SalesData[Product]=$A$108)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471256.17000000004</v>
      </c>
      <c r="C108" s="11">
        <f>SUMPRODUCT((SalesData[Product]=$A$108)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179077.34</v>
      </c>
      <c r="D108" s="11">
        <f>SUMPRODUCT((SalesData[Product]=$A$108)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177</v>
      </c>
      <c r="E108" s="63">
        <f t="shared" si="3"/>
        <v>0.37999999023885456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6.05" customHeight="1">
      <c r="A109" s="56" t="s">
        <v>66</v>
      </c>
      <c r="B109" s="11">
        <f>SUMPRODUCT((SalesData[Product]=$A$109)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67267.45</v>
      </c>
      <c r="C109" s="11">
        <f>SUMPRODUCT((SalesData[Product]=$A$109)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25561.61</v>
      </c>
      <c r="D109" s="11">
        <f>SUMPRODUCT((SalesData[Product]=$A$109)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206</v>
      </c>
      <c r="E109" s="63">
        <f t="shared" si="3"/>
        <v>0.37999968781334809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6.05" customHeight="1">
      <c r="A110" s="56" t="s">
        <v>75</v>
      </c>
      <c r="B110" s="11">
        <f>SUMPRODUCT((SalesData[Product]=$A$110)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691271.67</v>
      </c>
      <c r="C110" s="11">
        <f>SUMPRODUCT((SalesData[Product]=$A$110)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262683.24</v>
      </c>
      <c r="D110" s="11">
        <f>SUMPRODUCT((SalesData[Product]=$A$110)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244</v>
      </c>
      <c r="E110" s="63">
        <f t="shared" si="3"/>
        <v>0.38000000781168997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6.05" customHeight="1">
      <c r="A111" s="56" t="s">
        <v>70</v>
      </c>
      <c r="B111" s="11">
        <f>SUMPRODUCT((SalesData[Product]=$A$111)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16936.25</v>
      </c>
      <c r="C111" s="11">
        <f>SUMPRODUCT((SalesData[Product]=$A$111)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6435.7899999999991</v>
      </c>
      <c r="D111" s="11">
        <f>SUMPRODUCT((SalesData[Product]=$A$111)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207</v>
      </c>
      <c r="E111" s="63">
        <f t="shared" si="3"/>
        <v>0.38000088567421947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6.05" customHeight="1">
      <c r="A112" s="56" t="s">
        <v>87</v>
      </c>
      <c r="B112" s="11">
        <f>SUMPRODUCT((SalesData[Product]=$A$112)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59692.89</v>
      </c>
      <c r="C112" s="11">
        <f>SUMPRODUCT((SalesData[Product]=$A$112)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22683.3</v>
      </c>
      <c r="D112" s="11">
        <f>SUMPRODUCT((SalesData[Product]=$A$112)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237</v>
      </c>
      <c r="E112" s="63">
        <f t="shared" si="3"/>
        <v>0.38000003015434503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6.05" customHeight="1">
      <c r="A113" s="56" t="s">
        <v>84</v>
      </c>
      <c r="B113" s="11">
        <f>SUMPRODUCT((SalesData[Product]=$A$113)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7547.35</v>
      </c>
      <c r="C113" s="11">
        <f>SUMPRODUCT((SalesData[Product]=$A$113)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2868</v>
      </c>
      <c r="D113" s="11">
        <f>SUMPRODUCT((SalesData[Product]=$A$113)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20</v>
      </c>
      <c r="E113" s="63">
        <f t="shared" si="3"/>
        <v>0.38000092747785646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6.05" customHeight="1">
      <c r="A114" s="56" t="s">
        <v>60</v>
      </c>
      <c r="B114" s="11">
        <f>SUMPRODUCT((SalesData[Product]=$A$114)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411205.34</v>
      </c>
      <c r="C114" s="11">
        <f>SUMPRODUCT((SalesData[Product]=$A$114)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156258.02999999997</v>
      </c>
      <c r="D114" s="11">
        <f>SUMPRODUCT((SalesData[Product]=$A$114)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94</v>
      </c>
      <c r="E114" s="63">
        <f t="shared" si="3"/>
        <v>0.38000000194549993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6.05" customHeight="1">
      <c r="A115" s="56" t="s">
        <v>69</v>
      </c>
      <c r="B115" s="11">
        <f>SUMPRODUCT((SalesData[Product]=$A$115)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20255.8</v>
      </c>
      <c r="C115" s="11">
        <f>SUMPRODUCT((SalesData[Product]=$A$115)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7697.2000000000007</v>
      </c>
      <c r="D115" s="11">
        <f>SUMPRODUCT((SalesData[Product]=$A$115)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216</v>
      </c>
      <c r="E115" s="63">
        <f t="shared" si="3"/>
        <v>0.37999980252569637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6.05" customHeight="1">
      <c r="A116" s="56" t="s">
        <v>77</v>
      </c>
      <c r="B116" s="11">
        <f>SUMPRODUCT((SalesData[Product]=$A$116)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21346.499999999996</v>
      </c>
      <c r="C116" s="11">
        <f>SUMPRODUCT((SalesData[Product]=$A$116)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8111.67</v>
      </c>
      <c r="D116" s="11">
        <f>SUMPRODUCT((SalesData[Product]=$A$116)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91</v>
      </c>
      <c r="E116" s="63">
        <f t="shared" si="3"/>
        <v>0.38000000000000006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6.05" customHeight="1">
      <c r="A117" s="56" t="s">
        <v>88</v>
      </c>
      <c r="B117" s="11">
        <f>SUMPRODUCT((SalesData[Product]=$A$117)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69216.900000000009</v>
      </c>
      <c r="C117" s="11">
        <f>SUMPRODUCT((SalesData[Product]=$A$117)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26302.42</v>
      </c>
      <c r="D117" s="11">
        <f>SUMPRODUCT((SalesData[Product]=$A$117)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289</v>
      </c>
      <c r="E117" s="63">
        <f t="shared" si="3"/>
        <v>0.37999997110532246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6.05" customHeight="1">
      <c r="A118" s="57" t="s">
        <v>74</v>
      </c>
      <c r="B118" s="58">
        <f>SUMPRODUCT((SalesData[Product]=$A$118)*(($B$6="All")+(SalesData[Year]=$B$6))*(($C$6="All")+(SalesData[Quarter]=$C$6))*(($D$6="All")+(SalesData[Month]=$D$6))*(($E$6="All")+(SalesData[Region]=$E$6))*(($F$6="All")+(SalesData[Category]=$F$6))*(($G$6="All")+(SalesData[Salesperson]=$G$6))*SalesData[Revenue])</f>
        <v>33856.43</v>
      </c>
      <c r="C118" s="58">
        <f>SUMPRODUCT((SalesData[Product]=$A$118)*(($B$6="All")+(SalesData[Year]=$B$6))*(($C$6="All")+(SalesData[Quarter]=$C$6))*(($D$6="All")+(SalesData[Month]=$D$6))*(($E$6="All")+(SalesData[Region]=$E$6))*(($F$6="All")+(SalesData[Category]=$F$6))*(($G$6="All")+(SalesData[Salesperson]=$G$6))*SalesData[Profit])</f>
        <v>12865.439999999999</v>
      </c>
      <c r="D118" s="58">
        <f>SUMPRODUCT((SalesData[Product]=$A$118)*(($B$6="All")+(SalesData[Year]=$B$6))*(($C$6="All")+(SalesData[Quarter]=$C$6))*(($D$6="All")+(SalesData[Month]=$D$6))*(($E$6="All")+(SalesData[Region]=$E$6))*(($F$6="All")+(SalesData[Category]=$F$6))*(($G$6="All")+(SalesData[Salesperson]=$G$6))*SalesData[Units])</f>
        <v>133</v>
      </c>
      <c r="E118" s="64">
        <f t="shared" si="3"/>
        <v>0.3799998995759446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6.05" customHeight="1">
      <c r="A119" s="51" t="s">
        <v>109</v>
      </c>
      <c r="B119" s="52">
        <f>SUM(B94:B118)</f>
        <v>4914196.3099999996</v>
      </c>
      <c r="C119" s="52">
        <f>SUM(C94:C118)</f>
        <v>1867394.62</v>
      </c>
      <c r="D119" s="52">
        <f>SUM(D94:D118)</f>
        <v>3831</v>
      </c>
      <c r="E119" s="6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6.0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9.95" customHeight="1">
      <c r="A121" s="15" t="s">
        <v>117</v>
      </c>
      <c r="B121" s="16"/>
      <c r="C121" s="16"/>
      <c r="D121" s="16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6.05" customHeight="1">
      <c r="A122" s="26" t="s">
        <v>118</v>
      </c>
      <c r="B122" s="26" t="s">
        <v>52</v>
      </c>
      <c r="C122" s="26" t="s">
        <v>56</v>
      </c>
      <c r="D122" s="26" t="s">
        <v>58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6.05" customHeight="1">
      <c r="A123" s="66">
        <v>1</v>
      </c>
      <c r="B123" s="67" t="str">
        <f>IF(LARGE($B$94:$B$118,1)&gt;0,IFERROR(INDEX($A$94:$A$118,MATCH(LARGE($B$94:$B$118,1),$B$94:$B$118,0)),""),"")</f>
        <v>Headset</v>
      </c>
      <c r="C123" s="35">
        <f>IFERROR(LARGE($B$94:$B$118,1),"")</f>
        <v>759688.02</v>
      </c>
      <c r="D123" s="68">
        <f>IFERROR(INDEX($C$94:$C$118,MATCH(LARGE($B$94:$B$118,1),$B$94:$B$118,0)),"")</f>
        <v>288681.45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6.05" customHeight="1">
      <c r="A124" s="69">
        <v>2</v>
      </c>
      <c r="B124" s="70" t="str">
        <f>IF(LARGE($B$94:$B$118,2)&gt;0,IFERROR(INDEX($A$94:$A$118,MATCH(LARGE($B$94:$B$118,2),$B$94:$B$118,0)),""),"")</f>
        <v>Sofa</v>
      </c>
      <c r="C124" s="44">
        <f>IFERROR(LARGE($B$94:$B$118,2),"")</f>
        <v>691271.67</v>
      </c>
      <c r="D124" s="71">
        <f>IFERROR(INDEX($C$94:$C$118,MATCH(LARGE($B$94:$B$118,2),$B$94:$B$118,0)),"")</f>
        <v>262683.24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6.05" customHeight="1">
      <c r="A125" s="69">
        <v>3</v>
      </c>
      <c r="B125" s="70" t="str">
        <f>IF(LARGE($B$94:$B$118,3)&gt;0,IFERROR(INDEX($A$94:$A$118,MATCH(LARGE($B$94:$B$118,3),$B$94:$B$118,0)),""),"")</f>
        <v>Desk</v>
      </c>
      <c r="C125" s="44">
        <f>IFERROR(LARGE($B$94:$B$118,3),"")</f>
        <v>548078.28</v>
      </c>
      <c r="D125" s="71">
        <f>IFERROR(INDEX($C$94:$C$118,MATCH(LARGE($B$94:$B$118,3),$B$94:$B$118,0)),"")</f>
        <v>208269.75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6.05" customHeight="1">
      <c r="A126" s="69">
        <v>4</v>
      </c>
      <c r="B126" s="70" t="str">
        <f>IF(LARGE($B$94:$B$118,4)&gt;0,IFERROR(INDEX($A$94:$A$118,MATCH(LARGE($B$94:$B$118,4),$B$94:$B$118,0)),""),"")</f>
        <v>Smartphone</v>
      </c>
      <c r="C126" s="44">
        <f>IFERROR(LARGE($B$94:$B$118,4),"")</f>
        <v>471256.17000000004</v>
      </c>
      <c r="D126" s="71">
        <f>IFERROR(INDEX($C$94:$C$118,MATCH(LARGE($B$94:$B$118,4),$B$94:$B$118,0)),"")</f>
        <v>179077.34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6.05" customHeight="1">
      <c r="A127" s="69">
        <v>5</v>
      </c>
      <c r="B127" s="70" t="str">
        <f>IF(LARGE($B$94:$B$118,5)&gt;0,IFERROR(INDEX($A$94:$A$118,MATCH(LARGE($B$94:$B$118,5),$B$94:$B$118,0)),""),"")</f>
        <v>Monitor</v>
      </c>
      <c r="C127" s="44">
        <f>IFERROR(LARGE($B$94:$B$118,5),"")</f>
        <v>435057.76999999996</v>
      </c>
      <c r="D127" s="71">
        <f>IFERROR(INDEX($C$94:$C$118,MATCH(LARGE($B$94:$B$118,5),$B$94:$B$118,0)),"")</f>
        <v>165321.95000000001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6.05" customHeight="1">
      <c r="A128" s="69">
        <v>6</v>
      </c>
      <c r="B128" s="70" t="str">
        <f>IF(LARGE($B$94:$B$118,6)&gt;0,IFERROR(INDEX($A$94:$A$118,MATCH(LARGE($B$94:$B$118,6),$B$94:$B$118,0)),""),"")</f>
        <v>Bookshelf</v>
      </c>
      <c r="C128" s="44">
        <f>IFERROR(LARGE($B$94:$B$118,6),"")</f>
        <v>425258.29000000004</v>
      </c>
      <c r="D128" s="71">
        <f>IFERROR(INDEX($C$94:$C$118,MATCH(LARGE($B$94:$B$118,6),$B$94:$B$118,0)),"")</f>
        <v>161598.15000000002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6.05" customHeight="1">
      <c r="A129" s="69">
        <v>7</v>
      </c>
      <c r="B129" s="70" t="str">
        <f>IF(LARGE($B$94:$B$118,7)&gt;0,IFERROR(INDEX($A$94:$A$118,MATCH(LARGE($B$94:$B$118,7),$B$94:$B$118,0)),""),"")</f>
        <v>Tablet</v>
      </c>
      <c r="C129" s="44">
        <f>IFERROR(LARGE($B$94:$B$118,7),"")</f>
        <v>411205.34</v>
      </c>
      <c r="D129" s="71">
        <f>IFERROR(INDEX($C$94:$C$118,MATCH(LARGE($B$94:$B$118,7),$B$94:$B$118,0)),"")</f>
        <v>156258.02999999997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6.05" customHeight="1">
      <c r="A130" s="69">
        <v>8</v>
      </c>
      <c r="B130" s="70" t="str">
        <f>IF(LARGE($B$94:$B$118,8)&gt;0,IFERROR(INDEX($A$94:$A$118,MATCH(LARGE($B$94:$B$118,8),$B$94:$B$118,0)),""),"")</f>
        <v>Laptop</v>
      </c>
      <c r="C130" s="44">
        <f>IFERROR(LARGE($B$94:$B$118,8),"")</f>
        <v>360465.91999999998</v>
      </c>
      <c r="D130" s="71">
        <f>IFERROR(INDEX($C$94:$C$118,MATCH(LARGE($B$94:$B$118,8),$B$94:$B$118,0)),"")</f>
        <v>136977.04999999999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6.05" customHeight="1">
      <c r="A131" s="69">
        <v>9</v>
      </c>
      <c r="B131" s="70" t="str">
        <f>IF(LARGE($B$94:$B$118,9)&gt;0,IFERROR(INDEX($A$94:$A$118,MATCH(LARGE($B$94:$B$118,9),$B$94:$B$118,0)),""),"")</f>
        <v>Office Chair</v>
      </c>
      <c r="C131" s="44">
        <f>IFERROR(LARGE($B$94:$B$118,9),"")</f>
        <v>216559.27999999997</v>
      </c>
      <c r="D131" s="71">
        <f>IFERROR(INDEX($C$94:$C$118,MATCH(LARGE($B$94:$B$118,9),$B$94:$B$118,0)),"")</f>
        <v>82292.529999999984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6.05" customHeight="1">
      <c r="A132" s="72">
        <v>10</v>
      </c>
      <c r="B132" s="73" t="str">
        <f>IF(LARGE($B$94:$B$118,10)&gt;0,IFERROR(INDEX($A$94:$A$118,MATCH(LARGE($B$94:$B$118,10),$B$94:$B$118,0)),""),"")</f>
        <v>Floor Lamp</v>
      </c>
      <c r="C132" s="74">
        <f>IFERROR(LARGE($B$94:$B$118,10),"")</f>
        <v>123282.81</v>
      </c>
      <c r="D132" s="75">
        <f>IFERROR(INDEX($C$94:$C$118,MATCH(LARGE($B$94:$B$118,10),$B$94:$B$118,0)),"")</f>
        <v>46847.47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6.0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6.0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9.95" customHeight="1">
      <c r="A135" s="15" t="s">
        <v>119</v>
      </c>
      <c r="B135" s="16"/>
      <c r="C135" s="16"/>
      <c r="D135" s="16"/>
      <c r="E135" s="16"/>
      <c r="F135" s="16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6.05" customHeight="1">
      <c r="A136" s="26" t="s">
        <v>46</v>
      </c>
      <c r="B136" s="26" t="s">
        <v>56</v>
      </c>
      <c r="C136" s="26" t="s">
        <v>104</v>
      </c>
      <c r="D136" s="26" t="s">
        <v>54</v>
      </c>
      <c r="E136" s="26" t="s">
        <v>58</v>
      </c>
      <c r="F136" s="26" t="s">
        <v>107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6.05" customHeight="1">
      <c r="A137" s="55">
        <v>2022</v>
      </c>
      <c r="B137" s="33">
        <f>SUMPRODUCT((SalesData[Year]=$A$137)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2945037.5700000003</v>
      </c>
      <c r="C137" s="33">
        <f>SUMPRODUCT((SalesData[Year]=$A$137)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</f>
        <v>180</v>
      </c>
      <c r="D137" s="33">
        <f>SUMPRODUCT((SalesData[Year]=$A$137)*(($C$6="All")+(SalesData[Quarter]=$C$6))*(($D$6="All")+(SalesData[Month]=$D$6))*(($E$6="All")+(SalesData[Region]=$E$6))*(($F$6="All")+(SalesData[Category]=$F$6))*(($G$6="All")+(SalesData[Salesperson]=$G$6))*(($H$6="All")+(SalesData[Product]=$H$6))*SalesData[Units])</f>
        <v>1987</v>
      </c>
      <c r="E137" s="33">
        <f>SUMPRODUCT((SalesData[Year]=$A$137)*(($C$6="All")+(SalesData[Quarter]=$C$6))*(($D$6="All")+(SalesData[Month]=$D$6))*(($E$6="All")+(SalesData[Region]=$E$6))*(($F$6="All")+(SalesData[Category]=$F$6))*(($G$6="All")+(SalesData[Salesperson]=$G$6))*(($H$6="All")+(SalesData[Product]=$H$6))*SalesData[Profit])</f>
        <v>1119114.19</v>
      </c>
      <c r="F137" s="36">
        <f>B137*Dashboard!$AB$2</f>
        <v>2945037.5700000003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6.05" customHeight="1">
      <c r="A138" s="56">
        <v>2023</v>
      </c>
      <c r="B138" s="11">
        <f>SUMPRODUCT((SalesData[Year]=$A$138)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3304045.1900000009</v>
      </c>
      <c r="C138" s="11">
        <f>SUMPRODUCT((SalesData[Year]=$A$138)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</f>
        <v>180</v>
      </c>
      <c r="D138" s="11">
        <f>SUMPRODUCT((SalesData[Year]=$A$138)*(($C$6="All")+(SalesData[Quarter]=$C$6))*(($D$6="All")+(SalesData[Month]=$D$6))*(($E$6="All")+(SalesData[Region]=$E$6))*(($F$6="All")+(SalesData[Category]=$F$6))*(($G$6="All")+(SalesData[Salesperson]=$G$6))*(($H$6="All")+(SalesData[Product]=$H$6))*SalesData[Units])</f>
        <v>2780</v>
      </c>
      <c r="E138" s="11">
        <f>SUMPRODUCT((SalesData[Year]=$A$138)*(($C$6="All")+(SalesData[Quarter]=$C$6))*(($D$6="All")+(SalesData[Month]=$D$6))*(($E$6="All")+(SalesData[Region]=$E$6))*(($F$6="All")+(SalesData[Category]=$F$6))*(($G$6="All")+(SalesData[Salesperson]=$G$6))*(($H$6="All")+(SalesData[Product]=$H$6))*SalesData[Profit])</f>
        <v>1255537.0900000003</v>
      </c>
      <c r="F138" s="45">
        <f>B138*Dashboard!$AB$2</f>
        <v>3304045.1900000009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6.05" customHeight="1">
      <c r="A139" s="56">
        <v>2024</v>
      </c>
      <c r="B139" s="11">
        <f>SUMPRODUCT((SalesData[Year]=$A$139)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4914196.3100000015</v>
      </c>
      <c r="C139" s="11">
        <f>SUMPRODUCT((SalesData[Year]=$A$139)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</f>
        <v>180</v>
      </c>
      <c r="D139" s="11">
        <f>SUMPRODUCT((SalesData[Year]=$A$139)*(($C$6="All")+(SalesData[Quarter]=$C$6))*(($D$6="All")+(SalesData[Month]=$D$6))*(($E$6="All")+(SalesData[Region]=$E$6))*(($F$6="All")+(SalesData[Category]=$F$6))*(($G$6="All")+(SalesData[Salesperson]=$G$6))*(($H$6="All")+(SalesData[Product]=$H$6))*SalesData[Units])</f>
        <v>3831</v>
      </c>
      <c r="E139" s="11">
        <f>SUMPRODUCT((SalesData[Year]=$A$139)*(($C$6="All")+(SalesData[Quarter]=$C$6))*(($D$6="All")+(SalesData[Month]=$D$6))*(($E$6="All")+(SalesData[Region]=$E$6))*(($F$6="All")+(SalesData[Category]=$F$6))*(($G$6="All")+(SalesData[Salesperson]=$G$6))*(($H$6="All")+(SalesData[Product]=$H$6))*SalesData[Profit])</f>
        <v>1867394.6200000017</v>
      </c>
      <c r="F139" s="45">
        <f>B139*Dashboard!$AB$2</f>
        <v>4914196.3100000015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6.05" customHeight="1">
      <c r="A140" s="57">
        <v>2025</v>
      </c>
      <c r="B140" s="58">
        <f>SUMPRODUCT((SalesData[Year]=$A$140)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3811362.8200000012</v>
      </c>
      <c r="C140" s="58">
        <f>SUMPRODUCT((SalesData[Year]=$A$140)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</f>
        <v>180</v>
      </c>
      <c r="D140" s="58">
        <f>SUMPRODUCT((SalesData[Year]=$A$140)*(($C$6="All")+(SalesData[Quarter]=$C$6))*(($D$6="All")+(SalesData[Month]=$D$6))*(($E$6="All")+(SalesData[Region]=$E$6))*(($F$6="All")+(SalesData[Category]=$F$6))*(($G$6="All")+(SalesData[Salesperson]=$G$6))*(($H$6="All")+(SalesData[Product]=$H$6))*SalesData[Units])</f>
        <v>3073</v>
      </c>
      <c r="E140" s="58">
        <f>SUMPRODUCT((SalesData[Year]=$A$140)*(($C$6="All")+(SalesData[Quarter]=$C$6))*(($D$6="All")+(SalesData[Month]=$D$6))*(($E$6="All")+(SalesData[Region]=$E$6))*(($F$6="All")+(SalesData[Category]=$F$6))*(($G$6="All")+(SalesData[Salesperson]=$G$6))*(($H$6="All")+(SalesData[Product]=$H$6))*SalesData[Profit])</f>
        <v>1448317.9</v>
      </c>
      <c r="F140" s="60">
        <f>B140*Dashboard!$AB$2</f>
        <v>3811362.8200000012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6.05" customHeight="1">
      <c r="A141" s="51" t="s">
        <v>109</v>
      </c>
      <c r="B141" s="52">
        <f>SUM(B137:B140)</f>
        <v>14974641.890000004</v>
      </c>
      <c r="C141" s="61"/>
      <c r="D141" s="61"/>
      <c r="E141" s="61"/>
      <c r="F141" s="54">
        <f>SUM(F137:F140)</f>
        <v>14974641.890000004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6.0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9.95" customHeight="1">
      <c r="A143" s="15" t="s">
        <v>120</v>
      </c>
      <c r="B143" s="16"/>
      <c r="C143" s="16"/>
      <c r="D143" s="16"/>
      <c r="E143" s="16"/>
      <c r="F143" s="16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6.05" customHeight="1">
      <c r="A144" s="76" t="s">
        <v>121</v>
      </c>
      <c r="B144" s="77" t="s">
        <v>35</v>
      </c>
      <c r="C144" s="77" t="s">
        <v>36</v>
      </c>
      <c r="D144" s="77" t="s">
        <v>37</v>
      </c>
      <c r="E144" s="77" t="s">
        <v>38</v>
      </c>
      <c r="F144" s="78" t="s">
        <v>39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6.05" customHeight="1">
      <c r="A145" s="56" t="s">
        <v>40</v>
      </c>
      <c r="B145" s="11">
        <f>SUMPRODUCT((SalesData[Region]=$A$145)*(SalesData[Category]=$B$144)*(($B$6="All")+(SalesData[Year]=$B$6))*(($C$6="All")+(SalesData[Quarter]=$C$6))*(($D$6="All")+(SalesData[Month]=$D$6))*(($G$6="All")+(SalesData[Salesperson]=$G$6))*(($H$6="All")+(SalesData[Product]=$H$6))*SalesData[Revenue])*Dashboard!$AB$2</f>
        <v>11548.230000000001</v>
      </c>
      <c r="C145" s="11">
        <f>SUMPRODUCT((SalesData[Region]=$A$145)*(SalesData[Category]=$C$144)*(($B$6="All")+(SalesData[Year]=$B$6))*(($C$6="All")+(SalesData[Quarter]=$C$6))*(($D$6="All")+(SalesData[Month]=$D$6))*(($G$6="All")+(SalesData[Salesperson]=$G$6))*(($H$6="All")+(SalesData[Product]=$H$6))*SalesData[Revenue])*Dashboard!$AB$2</f>
        <v>300225.34999999998</v>
      </c>
      <c r="D145" s="11">
        <f>SUMPRODUCT((SalesData[Region]=$A$145)*(SalesData[Category]=$D$144)*(($B$6="All")+(SalesData[Year]=$B$6))*(($C$6="All")+(SalesData[Quarter]=$C$6))*(($D$6="All")+(SalesData[Month]=$D$6))*(($G$6="All")+(SalesData[Salesperson]=$G$6))*(($H$6="All")+(SalesData[Product]=$H$6))*SalesData[Revenue])*Dashboard!$AB$2</f>
        <v>23601.149999999998</v>
      </c>
      <c r="E145" s="11">
        <f>SUMPRODUCT((SalesData[Region]=$A$145)*(SalesData[Category]=$E$144)*(($B$6="All")+(SalesData[Year]=$B$6))*(($C$6="All")+(SalesData[Quarter]=$C$6))*(($D$6="All")+(SalesData[Month]=$D$6))*(($G$6="All")+(SalesData[Salesperson]=$G$6))*(($H$6="All")+(SalesData[Product]=$H$6))*SalesData[Revenue])*Dashboard!$AB$2</f>
        <v>25945.65</v>
      </c>
      <c r="F145" s="45">
        <f>SUMPRODUCT((SalesData[Region]=$A$145)*(SalesData[Category]=$F$144)*(($B$6="All")+(SalesData[Year]=$B$6))*(($C$6="All")+(SalesData[Quarter]=$C$6))*(($D$6="All")+(SalesData[Month]=$D$6))*(($G$6="All")+(SalesData[Salesperson]=$G$6))*(($H$6="All")+(SalesData[Product]=$H$6))*SalesData[Revenue])*Dashboard!$AB$2</f>
        <v>282685.66000000003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6.05" customHeight="1">
      <c r="A146" s="56" t="s">
        <v>41</v>
      </c>
      <c r="B146" s="11">
        <f>SUMPRODUCT((SalesData[Region]=$A$146)*(SalesData[Category]=$B$144)*(($B$6="All")+(SalesData[Year]=$B$6))*(($C$6="All")+(SalesData[Quarter]=$C$6))*(($D$6="All")+(SalesData[Month]=$D$6))*(($G$6="All")+(SalesData[Salesperson]=$G$6))*(($H$6="All")+(SalesData[Product]=$H$6))*SalesData[Revenue])*Dashboard!$AB$2</f>
        <v>8322.2099999999991</v>
      </c>
      <c r="C146" s="11">
        <f>SUMPRODUCT((SalesData[Region]=$A$146)*(SalesData[Category]=$C$144)*(($B$6="All")+(SalesData[Year]=$B$6))*(($C$6="All")+(SalesData[Quarter]=$C$6))*(($D$6="All")+(SalesData[Month]=$D$6))*(($G$6="All")+(SalesData[Salesperson]=$G$6))*(($H$6="All")+(SalesData[Product]=$H$6))*SalesData[Revenue])*Dashboard!$AB$2</f>
        <v>541426.62</v>
      </c>
      <c r="D146" s="11">
        <f>SUMPRODUCT((SalesData[Region]=$A$146)*(SalesData[Category]=$D$144)*(($B$6="All")+(SalesData[Year]=$B$6))*(($C$6="All")+(SalesData[Quarter]=$C$6))*(($D$6="All")+(SalesData[Month]=$D$6))*(($G$6="All")+(SalesData[Salesperson]=$G$6))*(($H$6="All")+(SalesData[Product]=$H$6))*SalesData[Revenue])*Dashboard!$AB$2</f>
        <v>27015.24</v>
      </c>
      <c r="E146" s="11">
        <f>SUMPRODUCT((SalesData[Region]=$A$146)*(SalesData[Category]=$E$144)*(($B$6="All")+(SalesData[Year]=$B$6))*(($C$6="All")+(SalesData[Quarter]=$C$6))*(($D$6="All")+(SalesData[Month]=$D$6))*(($G$6="All")+(SalesData[Salesperson]=$G$6))*(($H$6="All")+(SalesData[Product]=$H$6))*SalesData[Revenue])*Dashboard!$AB$2</f>
        <v>53664.340000000004</v>
      </c>
      <c r="F146" s="45">
        <f>SUMPRODUCT((SalesData[Region]=$A$146)*(SalesData[Category]=$F$144)*(($B$6="All")+(SalesData[Year]=$B$6))*(($C$6="All")+(SalesData[Quarter]=$C$6))*(($D$6="All")+(SalesData[Month]=$D$6))*(($G$6="All")+(SalesData[Salesperson]=$G$6))*(($H$6="All")+(SalesData[Product]=$H$6))*SalesData[Revenue])*Dashboard!$AB$2</f>
        <v>802436.52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6.05" customHeight="1">
      <c r="A147" s="56" t="s">
        <v>42</v>
      </c>
      <c r="B147" s="11">
        <f>SUMPRODUCT((SalesData[Region]=$A$147)*(SalesData[Category]=$B$144)*(($B$6="All")+(SalesData[Year]=$B$6))*(($C$6="All")+(SalesData[Quarter]=$C$6))*(($D$6="All")+(SalesData[Month]=$D$6))*(($G$6="All")+(SalesData[Salesperson]=$G$6))*(($H$6="All")+(SalesData[Product]=$H$6))*SalesData[Revenue])*Dashboard!$AB$2</f>
        <v>13736.79</v>
      </c>
      <c r="C147" s="11">
        <f>SUMPRODUCT((SalesData[Region]=$A$147)*(SalesData[Category]=$C$144)*(($B$6="All")+(SalesData[Year]=$B$6))*(($C$6="All")+(SalesData[Quarter]=$C$6))*(($D$6="All")+(SalesData[Month]=$D$6))*(($G$6="All")+(SalesData[Salesperson]=$G$6))*(($H$6="All")+(SalesData[Product]=$H$6))*SalesData[Revenue])*Dashboard!$AB$2</f>
        <v>253668.4</v>
      </c>
      <c r="D147" s="11">
        <f>SUMPRODUCT((SalesData[Region]=$A$147)*(SalesData[Category]=$D$144)*(($B$6="All")+(SalesData[Year]=$B$6))*(($C$6="All")+(SalesData[Quarter]=$C$6))*(($D$6="All")+(SalesData[Month]=$D$6))*(($G$6="All")+(SalesData[Salesperson]=$G$6))*(($H$6="All")+(SalesData[Product]=$H$6))*SalesData[Revenue])*Dashboard!$AB$2</f>
        <v>55857.479999999996</v>
      </c>
      <c r="E147" s="11">
        <f>SUMPRODUCT((SalesData[Region]=$A$147)*(SalesData[Category]=$E$144)*(($B$6="All")+(SalesData[Year]=$B$6))*(($C$6="All")+(SalesData[Quarter]=$C$6))*(($D$6="All")+(SalesData[Month]=$D$6))*(($G$6="All")+(SalesData[Salesperson]=$G$6))*(($H$6="All")+(SalesData[Product]=$H$6))*SalesData[Revenue])*Dashboard!$AB$2</f>
        <v>39950.910000000003</v>
      </c>
      <c r="F147" s="45">
        <f>SUMPRODUCT((SalesData[Region]=$A$147)*(SalesData[Category]=$F$144)*(($B$6="All")+(SalesData[Year]=$B$6))*(($C$6="All")+(SalesData[Quarter]=$C$6))*(($D$6="All")+(SalesData[Month]=$D$6))*(($G$6="All")+(SalesData[Salesperson]=$G$6))*(($H$6="All")+(SalesData[Product]=$H$6))*SalesData[Revenue])*Dashboard!$AB$2</f>
        <v>474331.66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6.05" customHeight="1">
      <c r="A148" s="56" t="s">
        <v>43</v>
      </c>
      <c r="B148" s="11">
        <f>SUMPRODUCT((SalesData[Region]=$A$148)*(SalesData[Category]=$B$144)*(($B$6="All")+(SalesData[Year]=$B$6))*(($C$6="All")+(SalesData[Quarter]=$C$6))*(($D$6="All")+(SalesData[Month]=$D$6))*(($G$6="All")+(SalesData[Salesperson]=$G$6))*(($H$6="All")+(SalesData[Product]=$H$6))*SalesData[Revenue])*Dashboard!$AB$2</f>
        <v>27766.53000000001</v>
      </c>
      <c r="C148" s="11">
        <f>SUMPRODUCT((SalesData[Region]=$A$148)*(SalesData[Category]=$C$144)*(($B$6="All")+(SalesData[Year]=$B$6))*(($C$6="All")+(SalesData[Quarter]=$C$6))*(($D$6="All")+(SalesData[Month]=$D$6))*(($G$6="All")+(SalesData[Salesperson]=$G$6))*(($H$6="All")+(SalesData[Product]=$H$6))*SalesData[Revenue])*Dashboard!$AB$2</f>
        <v>734325.69</v>
      </c>
      <c r="D148" s="11">
        <f>SUMPRODUCT((SalesData[Region]=$A$148)*(SalesData[Category]=$D$144)*(($B$6="All")+(SalesData[Year]=$B$6))*(($C$6="All")+(SalesData[Quarter]=$C$6))*(($D$6="All")+(SalesData[Month]=$D$6))*(($G$6="All")+(SalesData[Salesperson]=$G$6))*(($H$6="All")+(SalesData[Product]=$H$6))*SalesData[Revenue])*Dashboard!$AB$2</f>
        <v>74263.78</v>
      </c>
      <c r="E148" s="11">
        <f>SUMPRODUCT((SalesData[Region]=$A$148)*(SalesData[Category]=$E$144)*(($B$6="All")+(SalesData[Year]=$B$6))*(($C$6="All")+(SalesData[Quarter]=$C$6))*(($D$6="All")+(SalesData[Month]=$D$6))*(($G$6="All")+(SalesData[Salesperson]=$G$6))*(($H$6="All")+(SalesData[Product]=$H$6))*SalesData[Revenue])*Dashboard!$AB$2</f>
        <v>21982.550000000003</v>
      </c>
      <c r="F148" s="45">
        <f>SUMPRODUCT((SalesData[Region]=$A$148)*(SalesData[Category]=$F$144)*(($B$6="All")+(SalesData[Year]=$B$6))*(($C$6="All")+(SalesData[Quarter]=$C$6))*(($D$6="All")+(SalesData[Month]=$D$6))*(($G$6="All")+(SalesData[Salesperson]=$G$6))*(($H$6="All")+(SalesData[Product]=$H$6))*SalesData[Revenue])*Dashboard!$AB$2</f>
        <v>225203.76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6.05" customHeight="1">
      <c r="A149" s="57" t="s">
        <v>44</v>
      </c>
      <c r="B149" s="58">
        <f>SUMPRODUCT((SalesData[Region]=$A$149)*(SalesData[Category]=$B$144)*(($B$6="All")+(SalesData[Year]=$B$6))*(($C$6="All")+(SalesData[Quarter]=$C$6))*(($D$6="All")+(SalesData[Month]=$D$6))*(($G$6="All")+(SalesData[Salesperson]=$G$6))*(($H$6="All")+(SalesData[Product]=$H$6))*SalesData[Revenue])*Dashboard!$AB$2</f>
        <v>22577.9</v>
      </c>
      <c r="C149" s="58">
        <f>SUMPRODUCT((SalesData[Region]=$A$149)*(SalesData[Category]=$C$144)*(($B$6="All")+(SalesData[Year]=$B$6))*(($C$6="All")+(SalesData[Quarter]=$C$6))*(($D$6="All")+(SalesData[Month]=$D$6))*(($G$6="All")+(SalesData[Salesperson]=$G$6))*(($H$6="All")+(SalesData[Product]=$H$6))*SalesData[Revenue])*Dashboard!$AB$2</f>
        <v>174804.27</v>
      </c>
      <c r="D149" s="58">
        <f>SUMPRODUCT((SalesData[Region]=$A$149)*(SalesData[Category]=$D$144)*(($B$6="All")+(SalesData[Year]=$B$6))*(($C$6="All")+(SalesData[Quarter]=$C$6))*(($D$6="All")+(SalesData[Month]=$D$6))*(($G$6="All")+(SalesData[Salesperson]=$G$6))*(($H$6="All")+(SalesData[Product]=$H$6))*SalesData[Revenue])*Dashboard!$AB$2</f>
        <v>35852.76</v>
      </c>
      <c r="E149" s="58">
        <f>SUMPRODUCT((SalesData[Region]=$A$149)*(SalesData[Category]=$E$144)*(($B$6="All")+(SalesData[Year]=$B$6))*(($C$6="All")+(SalesData[Quarter]=$C$6))*(($D$6="All")+(SalesData[Month]=$D$6))*(($G$6="All")+(SalesData[Salesperson]=$G$6))*(($H$6="All")+(SalesData[Product]=$H$6))*SalesData[Revenue])*Dashboard!$AB$2</f>
        <v>29987.24</v>
      </c>
      <c r="F149" s="60">
        <f>SUMPRODUCT((SalesData[Region]=$A$149)*(SalesData[Category]=$F$144)*(($B$6="All")+(SalesData[Year]=$B$6))*(($C$6="All")+(SalesData[Quarter]=$C$6))*(($D$6="All")+(SalesData[Month]=$D$6))*(($G$6="All")+(SalesData[Salesperson]=$G$6))*(($H$6="All")+(SalesData[Product]=$H$6))*SalesData[Revenue])*Dashboard!$AB$2</f>
        <v>653015.62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6.0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6.0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9.95" customHeight="1">
      <c r="A152" s="15" t="s">
        <v>122</v>
      </c>
      <c r="B152" s="16"/>
      <c r="C152" s="1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6.05" customHeight="1">
      <c r="A153" s="26" t="s">
        <v>123</v>
      </c>
      <c r="B153" s="26" t="s">
        <v>15</v>
      </c>
      <c r="C153" s="26" t="s">
        <v>101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6.05" customHeight="1">
      <c r="A154" s="79" t="s">
        <v>124</v>
      </c>
      <c r="B154" s="33">
        <f>SUM(B42:B53)</f>
        <v>4914196.3100000005</v>
      </c>
      <c r="C154" s="80">
        <f>SUM(B42:B53)*Dashboard!$AB$2</f>
        <v>4914196.3100000005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6.05" customHeight="1">
      <c r="A155" s="81" t="s">
        <v>125</v>
      </c>
      <c r="B155" s="11">
        <f>SUM(E42:E53)</f>
        <v>3046801.69</v>
      </c>
      <c r="C155" s="82">
        <f>SUM(E42:E53)*Dashboard!$AB$2</f>
        <v>3046801.69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6.05" customHeight="1">
      <c r="A156" s="81" t="s">
        <v>126</v>
      </c>
      <c r="B156" s="11">
        <f>SUM(F42:F53)</f>
        <v>1867394.6199999999</v>
      </c>
      <c r="C156" s="82">
        <f>SUM(F42:F53)*Dashboard!$AB$2</f>
        <v>1867394.6199999999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6.05" customHeight="1">
      <c r="A157" s="81" t="s">
        <v>20</v>
      </c>
      <c r="B157" s="11">
        <f>SUM(C42:C53)</f>
        <v>180</v>
      </c>
      <c r="C157" s="82">
        <f>SUM(C42:C53)*Dashboard!$AB$2</f>
        <v>180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6.05" customHeight="1">
      <c r="A158" s="83" t="s">
        <v>34</v>
      </c>
      <c r="B158" s="58">
        <f>SUM(B42:B53)*(1+$I$6/100)</f>
        <v>7862714.0960000008</v>
      </c>
      <c r="C158" s="84">
        <f>SUM(B42:B53)*(1+$I$6/100)*Dashboard!$AB$2</f>
        <v>7862714.0960000008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6.0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6.0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9.95" customHeight="1">
      <c r="A161" s="15" t="s">
        <v>127</v>
      </c>
      <c r="B161" s="16"/>
      <c r="C161" s="16"/>
      <c r="D161" s="16"/>
      <c r="E161" s="16"/>
      <c r="F161" s="1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6.05" customHeight="1">
      <c r="A162" s="85">
        <v>0</v>
      </c>
      <c r="B162" s="86">
        <v>5</v>
      </c>
      <c r="C162" s="86">
        <v>10</v>
      </c>
      <c r="D162" s="86">
        <v>15</v>
      </c>
      <c r="E162" s="86">
        <v>20</v>
      </c>
      <c r="F162" s="86">
        <v>25</v>
      </c>
      <c r="G162" s="86">
        <v>30</v>
      </c>
      <c r="H162" s="86">
        <v>35</v>
      </c>
      <c r="I162" s="86">
        <v>40</v>
      </c>
      <c r="J162" s="86">
        <v>45</v>
      </c>
      <c r="K162" s="86">
        <v>50</v>
      </c>
      <c r="L162" s="86">
        <v>55</v>
      </c>
      <c r="M162" s="86">
        <v>60</v>
      </c>
      <c r="N162" s="86">
        <v>65</v>
      </c>
      <c r="O162" s="86">
        <v>70</v>
      </c>
      <c r="P162" s="86">
        <v>75</v>
      </c>
      <c r="Q162" s="86">
        <v>80</v>
      </c>
      <c r="R162" s="86">
        <v>85</v>
      </c>
      <c r="S162" s="86">
        <v>90</v>
      </c>
      <c r="T162" s="86">
        <v>95</v>
      </c>
      <c r="U162" s="87">
        <v>100</v>
      </c>
    </row>
    <row r="163" spans="1:21" ht="16.0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9.95" customHeight="1">
      <c r="A164" s="15" t="s">
        <v>128</v>
      </c>
      <c r="B164" s="16"/>
      <c r="C164" s="16"/>
      <c r="D164" s="16"/>
      <c r="E164" s="16"/>
      <c r="F164" s="1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6.05" customHeight="1">
      <c r="A165" s="26" t="s">
        <v>123</v>
      </c>
      <c r="B165" s="26" t="s">
        <v>129</v>
      </c>
      <c r="C165" s="26" t="s">
        <v>130</v>
      </c>
      <c r="D165" s="26" t="s">
        <v>131</v>
      </c>
      <c r="E165" s="26" t="s">
        <v>132</v>
      </c>
      <c r="F165" s="26" t="s">
        <v>133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6.05" customHeight="1">
      <c r="A166" s="88" t="s">
        <v>134</v>
      </c>
      <c r="B166" s="89">
        <f>IF($B$6="All",2025,$B$6)</f>
        <v>2024</v>
      </c>
      <c r="C166" s="89">
        <f>IF($B$6="All",2022,IF($B$6&lt;=2022,"n/a",$B$6-1))</f>
        <v>2023</v>
      </c>
      <c r="D166" s="90">
        <f>SUMPRODUCT((SalesData[Year]=B166)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4914196.3100000015</v>
      </c>
      <c r="E166" s="90">
        <f>IF(ISNUMBER(C166),SUMPRODUCT((SalesData[Year]=C166)*(($C$6="All")+(SalesData[Quarter]=$C$6))*(($D$6="All")+(SalesData[Month]=$D$6))*(($E$6="All")+(SalesData[Region]=$E$6))*(($F$6="All")+(SalesData[Category]=$F$6))*(($G$6="All")+(SalesData[Salesperson]=$G$6))*(($H$6="All")+(SalesData[Product]=$H$6))*SalesData[Revenue]),"n/a")</f>
        <v>3304045.1900000009</v>
      </c>
      <c r="F166" s="91">
        <f>IF(NOT(ISNUMBER(C166)),"n/a",IFERROR((D166-E166)/E166,"n/a"))</f>
        <v>0.48732720874196039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6.0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9.95" customHeight="1">
      <c r="A168" s="15" t="s">
        <v>135</v>
      </c>
      <c r="B168" s="16"/>
      <c r="C168" s="16"/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6.05" customHeight="1">
      <c r="A169" s="26" t="s">
        <v>118</v>
      </c>
      <c r="B169" s="26" t="s">
        <v>52</v>
      </c>
      <c r="C169" s="26" t="s">
        <v>56</v>
      </c>
      <c r="D169" s="26" t="s">
        <v>58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6.05" customHeight="1">
      <c r="A170" s="66">
        <v>1</v>
      </c>
      <c r="B170" s="67" t="str">
        <f>IF(SMALL($B$94:$B$118,1)&gt;0,IFERROR(INDEX($A$94:$A$118,MATCH(SMALL($B$94:$B$118,1),$B$94:$B$118,0)),""),"")</f>
        <v>T-Shirt</v>
      </c>
      <c r="C170" s="92">
        <f>IFERROR(SMALL($B$94:$B$118,1),"")</f>
        <v>7547.35</v>
      </c>
      <c r="D170" s="68">
        <f>IFERROR(INDEX($C$94:$C$118,MATCH(SMALL($B$94:$B$118,1),$B$94:$B$118,0)),"")</f>
        <v>2868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6.05" customHeight="1">
      <c r="A171" s="69">
        <v>2</v>
      </c>
      <c r="B171" s="70" t="str">
        <f>IF(SMALL($B$94:$B$118,2)&gt;0,IFERROR(INDEX($A$94:$A$118,MATCH(SMALL($B$94:$B$118,2),$B$94:$B$118,0)),""),"")</f>
        <v>Rice</v>
      </c>
      <c r="C171" s="93">
        <f>IFERROR(SMALL($B$94:$B$118,2),"")</f>
        <v>12560.67</v>
      </c>
      <c r="D171" s="71">
        <f>IFERROR(INDEX($C$94:$C$118,MATCH(SMALL($B$94:$B$118,2),$B$94:$B$118,0)),"")</f>
        <v>4773.05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6.05" customHeight="1">
      <c r="A172" s="69">
        <v>3</v>
      </c>
      <c r="B172" s="70" t="str">
        <f>IF(SMALL($B$94:$B$118,3)&gt;0,IFERROR(INDEX($A$94:$A$118,MATCH(SMALL($B$94:$B$118,3),$B$94:$B$118,0)),""),"")</f>
        <v>Cooking Oil</v>
      </c>
      <c r="C172" s="93">
        <f>IFERROR(SMALL($B$94:$B$118,3),"")</f>
        <v>13501.26</v>
      </c>
      <c r="D172" s="71">
        <f>IFERROR(INDEX($C$94:$C$118,MATCH(SMALL($B$94:$B$118,3),$B$94:$B$118,0)),"")</f>
        <v>5130.49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6.05" customHeight="1">
      <c r="A173" s="69">
        <v>4</v>
      </c>
      <c r="B173" s="70" t="str">
        <f>IF(SMALL($B$94:$B$118,4)&gt;0,IFERROR(INDEX($A$94:$A$118,MATCH(SMALL($B$94:$B$118,4),$B$94:$B$118,0)),""),"")</f>
        <v>Sugar</v>
      </c>
      <c r="C173" s="93">
        <f>IFERROR(SMALL($B$94:$B$118,4),"")</f>
        <v>16936.25</v>
      </c>
      <c r="D173" s="71">
        <f>IFERROR(INDEX($C$94:$C$118,MATCH(SMALL($B$94:$B$118,4),$B$94:$B$118,0)),"")</f>
        <v>6435.7899999999991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6.05" customHeight="1">
      <c r="A174" s="72">
        <v>5</v>
      </c>
      <c r="B174" s="73" t="str">
        <f>IF(SMALL($B$94:$B$118,5)&gt;0,IFERROR(INDEX($A$94:$A$118,MATCH(SMALL($B$94:$B$118,5),$B$94:$B$118,0)),""),"")</f>
        <v>Football</v>
      </c>
      <c r="C174" s="94">
        <f>IFERROR(SMALL($B$94:$B$118,5),"")</f>
        <v>18173.059999999998</v>
      </c>
      <c r="D174" s="75">
        <f>IFERROR(INDEX($C$94:$C$118,MATCH(SMALL($B$94:$B$118,5),$B$94:$B$118,0)),"")</f>
        <v>6905.7599999999993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6.0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6.0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9.95" customHeight="1">
      <c r="A177" s="15" t="s">
        <v>136</v>
      </c>
      <c r="B177" s="16"/>
      <c r="C177" s="16"/>
      <c r="D177" s="16"/>
      <c r="E177" s="16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6.05" customHeight="1">
      <c r="A178" s="26" t="s">
        <v>118</v>
      </c>
      <c r="B178" s="26" t="s">
        <v>52</v>
      </c>
      <c r="C178" s="26" t="s">
        <v>58</v>
      </c>
      <c r="D178" s="26" t="s">
        <v>56</v>
      </c>
      <c r="E178" s="26" t="s">
        <v>114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6.05" customHeight="1">
      <c r="A179" s="66">
        <v>1</v>
      </c>
      <c r="B179" s="67" t="str">
        <f>IF(LARGE($C$94:$C$118,1)&gt;0,IFERROR(INDEX($A$94:$A$118,MATCH(LARGE($C$94:$C$118,1),$C$94:$C$118,0)),""),"")</f>
        <v>Headset</v>
      </c>
      <c r="C179" s="35">
        <f>IFERROR(LARGE($C$94:$C$118,1),"")</f>
        <v>288681.45</v>
      </c>
      <c r="D179" s="33">
        <f>IFERROR(INDEX($B$94:$B$118,MATCH(LARGE($C$94:$C$118,1),$C$94:$C$118,0)),"")</f>
        <v>759688.02</v>
      </c>
      <c r="E179" s="62">
        <v>0.38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6.05" customHeight="1">
      <c r="A180" s="69">
        <v>2</v>
      </c>
      <c r="B180" s="70" t="str">
        <f>IF(LARGE($C$94:$C$118,2)&gt;0,IFERROR(INDEX($A$94:$A$118,MATCH(LARGE($C$94:$C$118,2),$C$94:$C$118,0)),""),"")</f>
        <v>Sofa</v>
      </c>
      <c r="C180" s="44">
        <f>IFERROR(LARGE($C$94:$C$118,2),"")</f>
        <v>262683.24</v>
      </c>
      <c r="D180" s="11">
        <f>IFERROR(INDEX($B$94:$B$118,MATCH(LARGE($C$94:$C$118,2),$C$94:$C$118,0)),"")</f>
        <v>691271.67</v>
      </c>
      <c r="E180" s="63">
        <v>0.38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6.05" customHeight="1">
      <c r="A181" s="69">
        <v>3</v>
      </c>
      <c r="B181" s="70" t="str">
        <f>IF(LARGE($C$94:$C$118,3)&gt;0,IFERROR(INDEX($A$94:$A$118,MATCH(LARGE($C$94:$C$118,3),$C$94:$C$118,0)),""),"")</f>
        <v>Desk</v>
      </c>
      <c r="C181" s="44">
        <f>IFERROR(LARGE($C$94:$C$118,3),"")</f>
        <v>208269.75</v>
      </c>
      <c r="D181" s="11">
        <f>IFERROR(INDEX($B$94:$B$118,MATCH(LARGE($C$94:$C$118,3),$C$94:$C$118,0)),"")</f>
        <v>548078.28</v>
      </c>
      <c r="E181" s="63">
        <v>0.38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6.05" customHeight="1">
      <c r="A182" s="69">
        <v>4</v>
      </c>
      <c r="B182" s="70" t="str">
        <f>IF(LARGE($C$94:$C$118,4)&gt;0,IFERROR(INDEX($A$94:$A$118,MATCH(LARGE($C$94:$C$118,4),$C$94:$C$118,0)),""),"")</f>
        <v>Smartphone</v>
      </c>
      <c r="C182" s="44">
        <f>IFERROR(LARGE($C$94:$C$118,4),"")</f>
        <v>179077.34</v>
      </c>
      <c r="D182" s="11">
        <f>IFERROR(INDEX($B$94:$B$118,MATCH(LARGE($C$94:$C$118,4),$C$94:$C$118,0)),"")</f>
        <v>471256.17000000004</v>
      </c>
      <c r="E182" s="63">
        <v>0.38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6.05" customHeight="1">
      <c r="A183" s="72">
        <v>5</v>
      </c>
      <c r="B183" s="73" t="str">
        <f>IF(LARGE($C$94:$C$118,5)&gt;0,IFERROR(INDEX($A$94:$A$118,MATCH(LARGE($C$94:$C$118,5),$C$94:$C$118,0)),""),"")</f>
        <v>Monitor</v>
      </c>
      <c r="C183" s="74">
        <f>IFERROR(LARGE($C$94:$C$118,5),"")</f>
        <v>165321.95000000001</v>
      </c>
      <c r="D183" s="58">
        <f>IFERROR(INDEX($B$94:$B$118,MATCH(LARGE($C$94:$C$118,5),$C$94:$C$118,0)),"")</f>
        <v>435057.76999999996</v>
      </c>
      <c r="E183" s="64">
        <v>0.38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6.0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6.0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9.95" customHeight="1">
      <c r="A186" s="15" t="s">
        <v>137</v>
      </c>
      <c r="B186" s="16"/>
      <c r="C186" s="16"/>
      <c r="D186" s="16"/>
      <c r="E186" s="16"/>
      <c r="F186" s="16"/>
      <c r="G186" s="16"/>
      <c r="H186" s="16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6.05" customHeight="1">
      <c r="A187" s="26" t="s">
        <v>129</v>
      </c>
      <c r="B187" s="26" t="s">
        <v>130</v>
      </c>
      <c r="C187" s="26" t="s">
        <v>138</v>
      </c>
      <c r="D187" s="26" t="s">
        <v>139</v>
      </c>
      <c r="E187" s="26" t="s">
        <v>140</v>
      </c>
      <c r="F187" s="26" t="s">
        <v>141</v>
      </c>
      <c r="G187" s="26" t="s">
        <v>142</v>
      </c>
      <c r="H187" s="26" t="s">
        <v>143</v>
      </c>
      <c r="I187" s="26" t="s">
        <v>144</v>
      </c>
      <c r="J187" s="26" t="s">
        <v>145</v>
      </c>
      <c r="K187" s="26" t="s">
        <v>146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6.05" customHeight="1">
      <c r="A188" s="95">
        <f>IF(ISNUMBER($B$6),$B$6,2025)</f>
        <v>2024</v>
      </c>
      <c r="B188" s="89">
        <f>IF(A188-1&lt;2022,"n/a",A188-1)</f>
        <v>2023</v>
      </c>
      <c r="C188" s="90">
        <f>SUMPRODUCT((SalesData[Year]=A188)*(($C$6="All")+(SalesData[Quarter]=$C$6))*(($D$6="All")+(SalesData[Month]=$D$6))*(($E$6="All")+(SalesData[Region]=$E$6))*(($F$6="All")+(SalesData[Category]=$F$6))*(($G$6="All")+(SalesData[Salesperson]=$G$6))*(($H$6="All")+(SalesData[Product]=$H$6))*SalesData[Revenue])</f>
        <v>4914196.3100000015</v>
      </c>
      <c r="D188" s="90">
        <f>IF(ISNUMBER(B188),SUMPRODUCT((SalesData[Year]=B188)*(($C$6="All")+(SalesData[Quarter]=$C$6))*(($D$6="All")+(SalesData[Month]=$D$6))*(($E$6="All")+(SalesData[Region]=$E$6))*(($F$6="All")+(SalesData[Category]=$F$6))*(($G$6="All")+(SalesData[Salesperson]=$G$6))*(($H$6="All")+(SalesData[Product]=$H$6))*SalesData[Revenue]),"n/a")</f>
        <v>3304045.1900000009</v>
      </c>
      <c r="E188" s="96">
        <f>IFERROR((C188-D188)/D188,"n/a")</f>
        <v>0.48732720874196039</v>
      </c>
      <c r="F188" s="90">
        <f>SUMPRODUCT((SalesData[Year]=A188)*(($C$6="All")+(SalesData[Quarter]=$C$6))*(($D$6="All")+(SalesData[Month]=$D$6))*(($E$6="All")+(SalesData[Region]=$E$6))*(($F$6="All")+(SalesData[Category]=$F$6))*(($G$6="All")+(SalesData[Salesperson]=$G$6))*(($H$6="All")+(SalesData[Product]=$H$6))*SalesData[Profit])</f>
        <v>1867394.6200000017</v>
      </c>
      <c r="G188" s="90">
        <f>IF(ISNUMBER(B188),SUMPRODUCT((SalesData[Year]=B188)*(($C$6="All")+(SalesData[Quarter]=$C$6))*(($D$6="All")+(SalesData[Month]=$D$6))*(($E$6="All")+(SalesData[Region]=$E$6))*(($F$6="All")+(SalesData[Category]=$F$6))*(($G$6="All")+(SalesData[Salesperson]=$G$6))*(($H$6="All")+(SalesData[Product]=$H$6))*SalesData[Profit]),"n/a")</f>
        <v>1255537.0900000003</v>
      </c>
      <c r="H188" s="96">
        <f>IFERROR((F188-G188)/G188,"n/a")</f>
        <v>0.48732732379893395</v>
      </c>
      <c r="I188" s="90">
        <f>SUMPRODUCT((SalesData[Year]=A188)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</f>
        <v>180</v>
      </c>
      <c r="J188" s="90">
        <f>IF(ISNUMBER(B188),SUMPRODUCT((SalesData[Year]=B188)*(($C$6="All")+(SalesData[Quarter]=$C$6))*(($D$6="All")+(SalesData[Month]=$D$6))*(($E$6="All")+(SalesData[Region]=$E$6))*(($F$6="All")+(SalesData[Category]=$F$6))*(($G$6="All")+(SalesData[Salesperson]=$G$6))*(($H$6="All")+(SalesData[Product]=$H$6))*((SalesData[Units]&lt;&gt;0))),"n/a")</f>
        <v>180</v>
      </c>
      <c r="K188" s="97">
        <f>IFERROR((I188-J188)/J188,"n/a")</f>
        <v>0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6.0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9.95" customHeight="1">
      <c r="A190" s="111" t="str">
        <f>"REVENUE BY YEAR  (YOY)  -  "&amp;$A$188&amp;"   vs   "&amp;$B$188</f>
        <v>REVENUE BY YEAR  (YOY)  -  2024   vs   2023</v>
      </c>
      <c r="B190" s="110"/>
      <c r="C190" s="110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6.05" customHeight="1">
      <c r="A191" s="76" t="s">
        <v>3</v>
      </c>
      <c r="B191" s="77" t="s">
        <v>147</v>
      </c>
      <c r="C191" s="78" t="s">
        <v>148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6.05" customHeight="1">
      <c r="A192" s="98">
        <f>$A$188</f>
        <v>2024</v>
      </c>
      <c r="B192" s="44">
        <f>$C$188</f>
        <v>4914196.3100000015</v>
      </c>
      <c r="C192" s="63">
        <f>IF(ISNUMBER($E$188),$E$188,"-")</f>
        <v>0.48732720874196039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6.05" customHeight="1">
      <c r="A193" s="99">
        <f>$B$188</f>
        <v>2023</v>
      </c>
      <c r="B193" s="100">
        <f>$D$188</f>
        <v>3304045.1900000009</v>
      </c>
      <c r="C193" s="10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6.0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9.95" customHeight="1">
      <c r="A195" s="15" t="s">
        <v>149</v>
      </c>
      <c r="B195" s="16"/>
      <c r="C195" s="16"/>
      <c r="D195" s="1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6.05" customHeight="1">
      <c r="A196" s="26" t="s">
        <v>150</v>
      </c>
      <c r="B196" s="26" t="s">
        <v>151</v>
      </c>
      <c r="C196" s="26" t="s">
        <v>152</v>
      </c>
      <c r="D196" s="2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6.05" customHeight="1">
      <c r="A197" s="154" t="s">
        <v>153</v>
      </c>
      <c r="B197" s="155">
        <f>ROUND(SUM(Calc!$C$42:$C$53)/12,0)</f>
        <v>15</v>
      </c>
      <c r="C197" s="156" t="s">
        <v>154</v>
      </c>
      <c r="D197" s="157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6.05" customHeight="1">
      <c r="A198" s="158" t="s">
        <v>155</v>
      </c>
      <c r="B198" s="159">
        <f>IFERROR(SUM(Calc!$D$42:$D$53)/SUM(Calc!$C$42:$C$53),0)</f>
        <v>21.283333333333335</v>
      </c>
      <c r="C198" s="160" t="s">
        <v>156</v>
      </c>
      <c r="D198" s="157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6.05" customHeight="1">
      <c r="A199" s="158" t="s">
        <v>157</v>
      </c>
      <c r="B199" s="161">
        <f>IFERROR(SUM(Calc!$D$42:$D$53)/COUNTA(Calc!$A$84:$A$89),0)</f>
        <v>638.5</v>
      </c>
      <c r="C199" s="160" t="s">
        <v>158</v>
      </c>
      <c r="D199" s="157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6.05" customHeight="1">
      <c r="A200" s="158" t="s">
        <v>159</v>
      </c>
      <c r="B200" s="161">
        <f>IFERROR(SUM(Calc!$C$42:$C$53)/COUNTA(Calc!$A$66:$A$70),0)</f>
        <v>36</v>
      </c>
      <c r="C200" s="160" t="s">
        <v>160</v>
      </c>
      <c r="D200" s="157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6.05" customHeight="1">
      <c r="A201" s="158" t="s">
        <v>161</v>
      </c>
      <c r="B201" s="162" t="str">
        <f>INDEX(Calc!$A$58:$A$61,MATCH(MAX(Calc!$B$58:$B$61),Calc!$B$58:$B$61,0))</f>
        <v>Q4</v>
      </c>
      <c r="C201" s="160" t="s">
        <v>162</v>
      </c>
      <c r="D201" s="157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6.05" customHeight="1">
      <c r="A202" s="163" t="s">
        <v>163</v>
      </c>
      <c r="B202" s="164">
        <f>MAX(Calc!$B$58:$B$61)</f>
        <v>1397478.9100000001</v>
      </c>
      <c r="C202" s="165" t="s">
        <v>164</v>
      </c>
      <c r="D202" s="157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6.0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6.0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</sheetData>
  <mergeCells count="2">
    <mergeCell ref="L5:L6"/>
    <mergeCell ref="A190:C190"/>
  </mergeCells>
  <hyperlinks>
    <hyperlink ref="L7" location="Data!A1" display="GoTo Data 👨‍🦯" xr:uid="{C39A1E8A-5B4F-4D08-AA11-F0563D2A3777}"/>
    <hyperlink ref="L5:L6" location="Dashboard!A1" display="Dashboard 👨‍🦯" xr:uid="{A80ACE0E-43C6-4DB8-B8FD-4B7EC672BB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Dashboard</vt:lpstr>
      <vt:lpstr>Data</vt:lpstr>
      <vt:lpstr>Calc</vt:lpstr>
      <vt:lpstr>DVCategory</vt:lpstr>
      <vt:lpstr>DVCur</vt:lpstr>
      <vt:lpstr>DVGrowth</vt:lpstr>
      <vt:lpstr>DVLine</vt:lpstr>
      <vt:lpstr>DVMonth</vt:lpstr>
      <vt:lpstr>DVProduct</vt:lpstr>
      <vt:lpstr>DVQuarter</vt:lpstr>
      <vt:lpstr>DVRegion</vt:lpstr>
      <vt:lpstr>DVSales</vt:lpstr>
      <vt:lpstr>DVYear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ELmagic</dc:creator>
  <cp:lastModifiedBy>Mohamed Hany</cp:lastModifiedBy>
  <dcterms:created xsi:type="dcterms:W3CDTF">2026-09-15T01:15:00Z</dcterms:created>
  <dcterms:modified xsi:type="dcterms:W3CDTF">2026-09-17T01:47:33Z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961D0269BEE04CEC9A72C095AF1A3785_11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